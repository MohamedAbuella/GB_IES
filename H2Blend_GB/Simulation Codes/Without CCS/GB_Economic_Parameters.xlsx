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hdella\Desktop\GB_Blend_H2\GB_2050_Data\"/>
    </mc:Choice>
  </mc:AlternateContent>
  <xr:revisionPtr revIDLastSave="0" documentId="13_ncr:1_{086F2B5C-7073-4B68-83EF-CB310195D24D}" xr6:coauthVersionLast="47" xr6:coauthVersionMax="47" xr10:uidLastSave="{00000000-0000-0000-0000-000000000000}"/>
  <bookViews>
    <workbookView xWindow="1733" yWindow="503" windowWidth="18164" windowHeight="11519" xr2:uid="{00000000-000D-0000-FFFF-FFFF00000000}"/>
  </bookViews>
  <sheets>
    <sheet name="Econ_Players" sheetId="15" r:id="rId1"/>
    <sheet name="Econ_Players_H2" sheetId="16" r:id="rId2"/>
    <sheet name="Econ_H2" sheetId="10" r:id="rId3"/>
    <sheet name="Cost_Calc" sheetId="18" r:id="rId4"/>
    <sheet name="Sheet1" sheetId="19" r:id="rId5"/>
    <sheet name="Updated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9" l="1"/>
  <c r="D29" i="19"/>
  <c r="D28" i="19"/>
  <c r="D27" i="19"/>
  <c r="D26" i="19"/>
  <c r="R22" i="19"/>
  <c r="Q22" i="19"/>
  <c r="R21" i="19"/>
  <c r="Q21" i="19"/>
  <c r="Q20" i="19"/>
  <c r="R20" i="19" s="1"/>
  <c r="Q19" i="19"/>
  <c r="R19" i="19" s="1"/>
  <c r="R18" i="19"/>
  <c r="Q18" i="19"/>
  <c r="R17" i="19"/>
  <c r="Q17" i="19"/>
  <c r="R16" i="19"/>
  <c r="Q16" i="19"/>
  <c r="Q15" i="19"/>
  <c r="R15" i="19" s="1"/>
  <c r="R14" i="19"/>
  <c r="Q14" i="19"/>
  <c r="R13" i="19"/>
  <c r="Q13" i="19"/>
  <c r="R12" i="19"/>
  <c r="Q12" i="19"/>
  <c r="Q11" i="19"/>
  <c r="R11" i="19" s="1"/>
  <c r="R10" i="19"/>
  <c r="Q10" i="19"/>
  <c r="R9" i="19"/>
  <c r="Q9" i="19"/>
  <c r="R8" i="19"/>
  <c r="Q8" i="19"/>
  <c r="Q7" i="19"/>
  <c r="R7" i="19" s="1"/>
  <c r="R6" i="19"/>
  <c r="Q6" i="19"/>
  <c r="R5" i="19"/>
  <c r="Q5" i="19"/>
  <c r="R4" i="19"/>
  <c r="Q4" i="19"/>
  <c r="Q3" i="19"/>
  <c r="R3" i="19" s="1"/>
  <c r="R2" i="19"/>
  <c r="Q2" i="19"/>
  <c r="D3" i="16"/>
  <c r="D4" i="16"/>
  <c r="D5" i="16"/>
  <c r="D6" i="16"/>
  <c r="D2" i="16"/>
  <c r="J2" i="10" l="1"/>
  <c r="J3" i="10"/>
  <c r="L3" i="10"/>
  <c r="M3" i="10" s="1"/>
  <c r="N3" i="10" s="1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2" i="17"/>
</calcChain>
</file>

<file path=xl/sharedStrings.xml><?xml version="1.0" encoding="utf-8"?>
<sst xmlns="http://schemas.openxmlformats.org/spreadsheetml/2006/main" count="292" uniqueCount="84">
  <si>
    <t>Nuclear</t>
  </si>
  <si>
    <t>OCGT</t>
  </si>
  <si>
    <t>Discount Rate (%)</t>
  </si>
  <si>
    <t>Lifetime (Years)</t>
  </si>
  <si>
    <t>Carbon Emissions (kg/MWh)</t>
  </si>
  <si>
    <t>Hydrogen Production Technology</t>
  </si>
  <si>
    <t>Efficiency (%)</t>
  </si>
  <si>
    <t>Electrolyser</t>
  </si>
  <si>
    <t>GHR-CCS</t>
  </si>
  <si>
    <t>Storage</t>
  </si>
  <si>
    <t>Capital Cost (£/MW)</t>
  </si>
  <si>
    <t>Fixed O&amp;M (£/MW/year)</t>
  </si>
  <si>
    <t>costs</t>
  </si>
  <si>
    <t>epsilon</t>
  </si>
  <si>
    <t>phi</t>
  </si>
  <si>
    <t>economic_life</t>
  </si>
  <si>
    <t>emissions</t>
  </si>
  <si>
    <t>Coal conventional</t>
  </si>
  <si>
    <t>Gas Conventional</t>
  </si>
  <si>
    <t>Coal CCS</t>
  </si>
  <si>
    <t>Gas CCS</t>
  </si>
  <si>
    <t>Peakers</t>
  </si>
  <si>
    <t>Offshore Wind</t>
  </si>
  <si>
    <t>PV</t>
  </si>
  <si>
    <t>CSP</t>
  </si>
  <si>
    <t>Biomass</t>
  </si>
  <si>
    <t>Geothermal</t>
  </si>
  <si>
    <t>Hydro ROR</t>
  </si>
  <si>
    <t>Hydro reservoir</t>
  </si>
  <si>
    <t>Other RES</t>
  </si>
  <si>
    <t>Onshore Wind</t>
  </si>
  <si>
    <t>Gas(LF)</t>
  </si>
  <si>
    <t>Micro CHP</t>
  </si>
  <si>
    <t>Industrial CHP</t>
  </si>
  <si>
    <t>G2P</t>
  </si>
  <si>
    <t>max_p_mw</t>
  </si>
  <si>
    <t>type</t>
  </si>
  <si>
    <t>id</t>
  </si>
  <si>
    <t>discount_rate</t>
  </si>
  <si>
    <t>CF</t>
  </si>
  <si>
    <t>g2g</t>
  </si>
  <si>
    <t>p2g</t>
  </si>
  <si>
    <t>g2p(H2-CCGT)</t>
  </si>
  <si>
    <t>g2p(H2-OCGT)</t>
  </si>
  <si>
    <t>g2p(Fuel Cell)</t>
  </si>
  <si>
    <t>Efficiency</t>
  </si>
  <si>
    <t>opex_mw_year</t>
  </si>
  <si>
    <t>Electricity</t>
  </si>
  <si>
    <t>Hydrogen</t>
  </si>
  <si>
    <t>final_vector</t>
  </si>
  <si>
    <t>Generation</t>
  </si>
  <si>
    <t>Capital Cost (£/kW)</t>
  </si>
  <si>
    <t>Fixed O&amp;M (£/kW/year)</t>
  </si>
  <si>
    <t>Marginal Cost (£/MWh)</t>
  </si>
  <si>
    <t>CCGT</t>
  </si>
  <si>
    <t>Gas-CCS</t>
  </si>
  <si>
    <t>Coal-CCS</t>
  </si>
  <si>
    <t>H2-CCGT</t>
  </si>
  <si>
    <t>H2-OCGT</t>
  </si>
  <si>
    <t>Wind (Onshore)</t>
  </si>
  <si>
    <t>Wind (Offshore)</t>
  </si>
  <si>
    <t>PV (Large-scale)</t>
  </si>
  <si>
    <t xml:space="preserve">* Department for Energy Security and Net Zero, “Electricity generation costs 2023,” The Stationery Office, London, UK, Tech. Rep., 2023, accessed: 2025-06-06. </t>
  </si>
  <si>
    <t xml:space="preserve">   [Online]. Available: https://www.gov.uk/government/publications/electricity-generation-costs-2023</t>
  </si>
  <si>
    <t>Hydropower </t>
  </si>
  <si>
    <t>Gas CHP </t>
  </si>
  <si>
    <t>Type</t>
  </si>
  <si>
    <t>O&amp;M (£/MWh)</t>
  </si>
  <si>
    <t>Marginal (£/MWh)</t>
  </si>
  <si>
    <t>Op Costs (£/MWh)</t>
  </si>
  <si>
    <t>Capex (£/MW)</t>
  </si>
  <si>
    <t>Life (yrs)</t>
  </si>
  <si>
    <t>Emissions (tCO₂/MWh)</t>
  </si>
  <si>
    <t>Discount Rate (r)</t>
  </si>
  <si>
    <t>H2 Storage (Cavern)</t>
  </si>
  <si>
    <t>Storage (BESS)</t>
  </si>
  <si>
    <r>
      <t xml:space="preserve">Total Op </t>
    </r>
    <r>
      <rPr>
        <b/>
        <sz val="10"/>
        <color rgb="FF000000"/>
        <rFont val="Arial Unicode MS"/>
        <family val="2"/>
      </rPr>
      <t>costs</t>
    </r>
    <r>
      <rPr>
        <b/>
        <sz val="11"/>
        <color rgb="FF000000"/>
        <rFont val="Calibri"/>
        <family val="2"/>
      </rPr>
      <t xml:space="preserve">
(O&amp;M + Fuel)= £/MWh</t>
    </r>
  </si>
  <si>
    <t>P2G</t>
  </si>
  <si>
    <t>Opex_Cost (£/MWh)</t>
  </si>
  <si>
    <t>G2G+CCS</t>
  </si>
  <si>
    <t>BESS</t>
  </si>
  <si>
    <t>H2-Storage</t>
  </si>
  <si>
    <t>Fixed O&amp;M/CAPEX</t>
  </si>
  <si>
    <t>Capex (£/kW)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</si>
</sst>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2"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ptos"/>
      <family val="2"/>
    </font>
    <font>
      <sz val="10"/>
      <color rgb="FFFF0000"/>
      <name val="Aptos"/>
      <family val="2"/>
    </font>
    <font>
      <b/>
      <sz val="10"/>
      <color rgb="FF000000"/>
      <name val="Arial Unicode MS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readingOrder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left" vertical="center" wrapText="1"/>
    </xf>
    <xf numFmtId="0" fontId="11" fillId="0" borderId="0" xfId="0" applyFont="1"/>
    <xf numFmtId="2" fontId="11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2">
    <cellStyle name="Normal" xfId="0" builtinId="0" customBuiltin="1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B8A3-A1F0-4020-ABCE-D6B9149E1A68}">
  <dimension ref="A1:U22"/>
  <sheetViews>
    <sheetView tabSelected="1" workbookViewId="0">
      <selection activeCell="I12" sqref="I12"/>
    </sheetView>
  </sheetViews>
  <sheetFormatPr defaultRowHeight="14.25"/>
  <cols>
    <col min="2" max="2" width="8.86328125" customWidth="1"/>
    <col min="3" max="3" width="15.33203125" customWidth="1"/>
    <col min="4" max="4" width="6.6640625" customWidth="1"/>
    <col min="5" max="5" width="11.3984375" customWidth="1"/>
    <col min="6" max="6" width="10.46484375" customWidth="1"/>
    <col min="7" max="7" width="9.86328125" customWidth="1"/>
    <col min="9" max="9" width="12.53125" customWidth="1"/>
    <col min="10" max="10" width="11.19921875" customWidth="1"/>
    <col min="14" max="14" width="11.33203125" customWidth="1"/>
    <col min="15" max="15" width="14.796875" style="12" customWidth="1"/>
    <col min="16" max="16" width="15.9296875" customWidth="1"/>
    <col min="17" max="17" width="9.86328125" customWidth="1"/>
    <col min="18" max="18" width="11.33203125" customWidth="1"/>
  </cols>
  <sheetData>
    <row r="1" spans="1:21" s="25" customFormat="1">
      <c r="A1" s="25" t="s">
        <v>37</v>
      </c>
      <c r="B1" s="25" t="s">
        <v>35</v>
      </c>
      <c r="C1" s="25" t="s">
        <v>36</v>
      </c>
      <c r="D1" s="25" t="s">
        <v>83</v>
      </c>
      <c r="E1" s="25" t="s">
        <v>52</v>
      </c>
      <c r="F1" s="25" t="s">
        <v>53</v>
      </c>
      <c r="G1" s="25" t="s">
        <v>12</v>
      </c>
      <c r="H1" s="25" t="s">
        <v>13</v>
      </c>
      <c r="I1" s="25" t="s">
        <v>14</v>
      </c>
      <c r="J1" s="25" t="s">
        <v>15</v>
      </c>
      <c r="K1" s="25" t="s">
        <v>16</v>
      </c>
      <c r="L1" s="25" t="s">
        <v>38</v>
      </c>
      <c r="M1" s="25" t="s">
        <v>39</v>
      </c>
      <c r="N1" s="25" t="s">
        <v>49</v>
      </c>
      <c r="O1" s="25" t="s">
        <v>46</v>
      </c>
      <c r="P1"/>
      <c r="Q1"/>
      <c r="R1"/>
      <c r="S1"/>
      <c r="T1"/>
      <c r="U1"/>
    </row>
    <row r="2" spans="1:21">
      <c r="A2" s="25">
        <v>0</v>
      </c>
      <c r="B2" s="25">
        <v>0</v>
      </c>
      <c r="C2" s="8" t="s">
        <v>17</v>
      </c>
      <c r="D2" s="25">
        <v>3000</v>
      </c>
      <c r="E2" s="25">
        <v>31</v>
      </c>
      <c r="F2" s="25">
        <v>62</v>
      </c>
      <c r="G2" s="25">
        <v>62</v>
      </c>
      <c r="H2" s="3">
        <v>3000000</v>
      </c>
      <c r="I2" s="34">
        <v>1.0333333333333333E-2</v>
      </c>
      <c r="J2" s="3">
        <v>25</v>
      </c>
      <c r="K2" s="3">
        <v>0.9</v>
      </c>
      <c r="L2" s="3">
        <v>0.13500000000000001</v>
      </c>
      <c r="M2" s="25">
        <v>0.9</v>
      </c>
      <c r="N2" s="25" t="s">
        <v>47</v>
      </c>
      <c r="O2" s="25"/>
      <c r="P2" s="35"/>
      <c r="Q2" s="34"/>
    </row>
    <row r="3" spans="1:21">
      <c r="A3" s="25">
        <v>1</v>
      </c>
      <c r="B3" s="25">
        <v>0</v>
      </c>
      <c r="C3" s="8" t="s">
        <v>18</v>
      </c>
      <c r="D3" s="25">
        <v>581</v>
      </c>
      <c r="E3" s="25">
        <v>15.6</v>
      </c>
      <c r="F3" s="25">
        <v>45.8</v>
      </c>
      <c r="G3" s="25">
        <v>45.8</v>
      </c>
      <c r="H3" s="3">
        <v>581000</v>
      </c>
      <c r="I3" s="34">
        <v>2.6850258175559381E-2</v>
      </c>
      <c r="J3" s="3">
        <v>25</v>
      </c>
      <c r="K3" s="3">
        <v>0.31880000000000003</v>
      </c>
      <c r="L3" s="3">
        <v>7.4999999999999997E-2</v>
      </c>
      <c r="M3" s="25">
        <v>0.92</v>
      </c>
      <c r="N3" s="25" t="s">
        <v>47</v>
      </c>
      <c r="O3" s="25"/>
      <c r="P3" s="35"/>
      <c r="Q3" s="34"/>
    </row>
    <row r="4" spans="1:21">
      <c r="A4" s="25">
        <v>2</v>
      </c>
      <c r="B4" s="25">
        <v>30.74</v>
      </c>
      <c r="C4" s="8" t="s">
        <v>19</v>
      </c>
      <c r="D4" s="25">
        <v>3403</v>
      </c>
      <c r="E4" s="25">
        <v>82</v>
      </c>
      <c r="F4" s="25">
        <v>35.4</v>
      </c>
      <c r="G4" s="25">
        <v>35.4</v>
      </c>
      <c r="H4" s="3">
        <v>3403000</v>
      </c>
      <c r="I4" s="34">
        <v>2.4096385542168676E-2</v>
      </c>
      <c r="J4" s="3">
        <v>25</v>
      </c>
      <c r="K4" s="3">
        <v>3.1800000000000002E-2</v>
      </c>
      <c r="L4" s="3">
        <v>0.13500000000000001</v>
      </c>
      <c r="M4" s="25">
        <v>0.9</v>
      </c>
      <c r="N4" s="25" t="s">
        <v>47</v>
      </c>
      <c r="O4" s="25"/>
      <c r="P4" s="35"/>
      <c r="Q4" s="34"/>
    </row>
    <row r="5" spans="1:21">
      <c r="A5" s="25">
        <v>3</v>
      </c>
      <c r="B5" s="25">
        <v>29948.41</v>
      </c>
      <c r="C5" s="8" t="s">
        <v>20</v>
      </c>
      <c r="D5" s="25">
        <v>2361</v>
      </c>
      <c r="E5" s="25">
        <v>41.6</v>
      </c>
      <c r="F5" s="25">
        <v>33.1</v>
      </c>
      <c r="G5" s="25">
        <v>33.1</v>
      </c>
      <c r="H5" s="3">
        <v>2361000</v>
      </c>
      <c r="I5" s="34">
        <v>1.7619652689538332E-2</v>
      </c>
      <c r="J5" s="3">
        <v>25</v>
      </c>
      <c r="K5" s="3">
        <v>3.1800000000000002E-2</v>
      </c>
      <c r="L5" s="3">
        <v>0.13800000000000001</v>
      </c>
      <c r="M5" s="25">
        <v>0.92</v>
      </c>
      <c r="N5" s="25" t="s">
        <v>47</v>
      </c>
      <c r="O5" s="25"/>
      <c r="P5" s="35"/>
      <c r="Q5" s="34"/>
    </row>
    <row r="6" spans="1:21">
      <c r="A6" s="25">
        <v>4</v>
      </c>
      <c r="B6" s="25">
        <v>217143.11</v>
      </c>
      <c r="C6" s="8" t="s">
        <v>0</v>
      </c>
      <c r="D6" s="25">
        <v>5191</v>
      </c>
      <c r="E6" s="25">
        <v>83.4</v>
      </c>
      <c r="F6" s="25">
        <v>5</v>
      </c>
      <c r="G6" s="25">
        <v>5</v>
      </c>
      <c r="H6" s="3">
        <v>5191000</v>
      </c>
      <c r="I6" s="34">
        <v>1.6066268541706803E-2</v>
      </c>
      <c r="J6" s="3">
        <v>40</v>
      </c>
      <c r="K6" s="3">
        <v>0</v>
      </c>
      <c r="L6" s="3">
        <v>9.5000000000000001E-2</v>
      </c>
      <c r="M6" s="25">
        <v>0.9</v>
      </c>
      <c r="N6" s="25" t="s">
        <v>47</v>
      </c>
      <c r="O6" s="25"/>
      <c r="P6" s="35"/>
      <c r="Q6" s="34"/>
    </row>
    <row r="7" spans="1:21">
      <c r="A7" s="25">
        <v>5</v>
      </c>
      <c r="B7" s="25">
        <v>0</v>
      </c>
      <c r="C7" s="8" t="s">
        <v>21</v>
      </c>
      <c r="D7" s="25">
        <v>440</v>
      </c>
      <c r="E7" s="25">
        <v>10.9</v>
      </c>
      <c r="F7" s="25">
        <v>66.8</v>
      </c>
      <c r="G7" s="25">
        <v>66.8</v>
      </c>
      <c r="H7" s="3">
        <v>440000</v>
      </c>
      <c r="I7" s="34">
        <v>2.4772727272727273E-2</v>
      </c>
      <c r="J7" s="3">
        <v>25</v>
      </c>
      <c r="K7" s="3">
        <v>0.52060000000000006</v>
      </c>
      <c r="L7" s="3">
        <v>8.8999999999999996E-2</v>
      </c>
      <c r="M7" s="25">
        <v>0.2</v>
      </c>
      <c r="N7" s="25" t="s">
        <v>47</v>
      </c>
      <c r="O7" s="25"/>
      <c r="P7" s="35"/>
      <c r="Q7" s="34"/>
    </row>
    <row r="8" spans="1:21">
      <c r="A8" s="25">
        <v>6</v>
      </c>
      <c r="B8" s="25">
        <v>475089.05</v>
      </c>
      <c r="C8" s="8" t="s">
        <v>22</v>
      </c>
      <c r="D8" s="25">
        <v>1578</v>
      </c>
      <c r="E8" s="25">
        <v>42.1</v>
      </c>
      <c r="F8" s="25">
        <v>0</v>
      </c>
      <c r="G8" s="25">
        <v>0</v>
      </c>
      <c r="H8" s="3">
        <v>1578000</v>
      </c>
      <c r="I8" s="34">
        <v>2.6679340937896073E-2</v>
      </c>
      <c r="J8" s="3">
        <v>30</v>
      </c>
      <c r="K8" s="3">
        <v>0</v>
      </c>
      <c r="L8" s="3">
        <v>8.900000000000001E-2</v>
      </c>
      <c r="M8" s="25">
        <v>0.5</v>
      </c>
      <c r="N8" s="25" t="s">
        <v>47</v>
      </c>
      <c r="O8" s="25"/>
      <c r="P8" s="33"/>
      <c r="Q8" s="34"/>
    </row>
    <row r="9" spans="1:21">
      <c r="A9" s="25">
        <v>7</v>
      </c>
      <c r="B9" s="25">
        <v>991411.99</v>
      </c>
      <c r="C9" s="8" t="s">
        <v>23</v>
      </c>
      <c r="D9" s="25">
        <v>457</v>
      </c>
      <c r="E9" s="25">
        <v>5.6</v>
      </c>
      <c r="F9" s="25">
        <v>0</v>
      </c>
      <c r="G9" s="25">
        <v>0</v>
      </c>
      <c r="H9" s="3">
        <v>457000</v>
      </c>
      <c r="I9" s="34">
        <v>1.2253829321663018E-2</v>
      </c>
      <c r="J9" s="3">
        <v>35</v>
      </c>
      <c r="K9" s="3">
        <v>0</v>
      </c>
      <c r="L9" s="3">
        <v>6.9000000000000006E-2</v>
      </c>
      <c r="M9" s="25">
        <v>0.15</v>
      </c>
      <c r="N9" s="25" t="s">
        <v>47</v>
      </c>
      <c r="O9" s="25"/>
      <c r="P9" s="33"/>
      <c r="Q9" s="34"/>
    </row>
    <row r="10" spans="1:21">
      <c r="A10" s="25">
        <v>8</v>
      </c>
      <c r="B10" s="25">
        <v>0</v>
      </c>
      <c r="C10" s="8" t="s">
        <v>24</v>
      </c>
      <c r="D10" s="25">
        <v>3000</v>
      </c>
      <c r="E10" s="25">
        <v>16</v>
      </c>
      <c r="F10" s="25">
        <v>0</v>
      </c>
      <c r="G10" s="25">
        <v>0</v>
      </c>
      <c r="H10" s="3">
        <v>3000000</v>
      </c>
      <c r="I10" s="34">
        <v>5.3333333333333332E-3</v>
      </c>
      <c r="J10" s="3">
        <v>25</v>
      </c>
      <c r="K10" s="3">
        <v>0</v>
      </c>
      <c r="L10" s="3">
        <v>5.7999999999999996E-2</v>
      </c>
      <c r="M10" s="25">
        <v>0.15</v>
      </c>
      <c r="N10" s="25" t="s">
        <v>47</v>
      </c>
      <c r="O10" s="25"/>
      <c r="P10" s="33"/>
      <c r="Q10" s="34"/>
    </row>
    <row r="11" spans="1:21">
      <c r="A11" s="25">
        <v>9</v>
      </c>
      <c r="B11" s="25">
        <v>76392.14</v>
      </c>
      <c r="C11" s="8" t="s">
        <v>25</v>
      </c>
      <c r="D11" s="25">
        <v>3403</v>
      </c>
      <c r="E11" s="25">
        <v>119.8</v>
      </c>
      <c r="F11" s="25">
        <v>14</v>
      </c>
      <c r="G11" s="25">
        <v>14</v>
      </c>
      <c r="H11" s="3">
        <v>3403000</v>
      </c>
      <c r="I11" s="34">
        <v>3.5204231560387891E-2</v>
      </c>
      <c r="J11" s="3">
        <v>25</v>
      </c>
      <c r="K11" s="3">
        <v>-0.25</v>
      </c>
      <c r="L11" s="3">
        <v>0.112</v>
      </c>
      <c r="M11" s="25">
        <v>0.89</v>
      </c>
      <c r="N11" s="25" t="s">
        <v>47</v>
      </c>
      <c r="O11" s="25"/>
      <c r="P11" s="33"/>
      <c r="Q11" s="34"/>
    </row>
    <row r="12" spans="1:21">
      <c r="A12" s="25">
        <v>10</v>
      </c>
      <c r="B12" s="25">
        <v>0</v>
      </c>
      <c r="C12" s="8" t="s">
        <v>26</v>
      </c>
      <c r="D12" s="25">
        <v>4800</v>
      </c>
      <c r="E12" s="25">
        <v>140</v>
      </c>
      <c r="F12" s="25">
        <v>15</v>
      </c>
      <c r="G12" s="25">
        <v>15</v>
      </c>
      <c r="H12" s="3">
        <v>4800000</v>
      </c>
      <c r="I12" s="34">
        <v>2.9166666666666667E-2</v>
      </c>
      <c r="J12" s="3">
        <v>30</v>
      </c>
      <c r="K12" s="3">
        <v>0</v>
      </c>
      <c r="L12" s="3">
        <v>8.5000000000000006E-2</v>
      </c>
      <c r="M12" s="25">
        <v>0.75</v>
      </c>
      <c r="N12" s="25" t="s">
        <v>47</v>
      </c>
      <c r="O12" s="25"/>
      <c r="P12" s="33"/>
      <c r="Q12" s="34"/>
    </row>
    <row r="13" spans="1:21">
      <c r="A13" s="25">
        <v>11</v>
      </c>
      <c r="B13" s="25">
        <v>63247</v>
      </c>
      <c r="C13" s="8" t="s">
        <v>27</v>
      </c>
      <c r="D13" s="25">
        <v>3475</v>
      </c>
      <c r="E13" s="25">
        <v>48.3</v>
      </c>
      <c r="F13" s="25">
        <v>0</v>
      </c>
      <c r="G13" s="25">
        <v>0</v>
      </c>
      <c r="H13" s="3">
        <v>3475000</v>
      </c>
      <c r="I13" s="34">
        <v>1.3899280575539567E-2</v>
      </c>
      <c r="J13" s="3">
        <v>80</v>
      </c>
      <c r="K13" s="3">
        <v>0</v>
      </c>
      <c r="L13" s="3">
        <v>7.1999999999999995E-2</v>
      </c>
      <c r="M13" s="25">
        <v>0.5</v>
      </c>
      <c r="N13" s="25" t="s">
        <v>47</v>
      </c>
      <c r="O13" s="25"/>
      <c r="P13" s="33"/>
      <c r="Q13" s="34"/>
    </row>
    <row r="14" spans="1:21">
      <c r="A14" s="25">
        <v>12</v>
      </c>
      <c r="B14" s="25">
        <v>123435</v>
      </c>
      <c r="C14" s="8" t="s">
        <v>28</v>
      </c>
      <c r="D14" s="25">
        <v>3475</v>
      </c>
      <c r="E14" s="25">
        <v>48.3</v>
      </c>
      <c r="F14" s="25">
        <v>0</v>
      </c>
      <c r="G14" s="25">
        <v>0</v>
      </c>
      <c r="H14" s="3">
        <v>3475000</v>
      </c>
      <c r="I14" s="34">
        <v>1.3899280575539567E-2</v>
      </c>
      <c r="J14" s="3">
        <v>80</v>
      </c>
      <c r="K14" s="3">
        <v>0</v>
      </c>
      <c r="L14" s="3">
        <v>7.1999999999999995E-2</v>
      </c>
      <c r="M14" s="25">
        <v>0.55000000000000004</v>
      </c>
      <c r="N14" s="25" t="s">
        <v>47</v>
      </c>
      <c r="O14" s="25"/>
      <c r="P14" s="33"/>
      <c r="Q14" s="34"/>
    </row>
    <row r="15" spans="1:21">
      <c r="A15" s="25">
        <v>13</v>
      </c>
      <c r="B15" s="25">
        <v>170596.08</v>
      </c>
      <c r="C15" s="10" t="s">
        <v>9</v>
      </c>
      <c r="D15" s="3">
        <v>395</v>
      </c>
      <c r="E15" s="25">
        <v>5</v>
      </c>
      <c r="F15" s="25">
        <v>41.71</v>
      </c>
      <c r="G15" s="25">
        <v>41.71</v>
      </c>
      <c r="H15" s="3">
        <v>395000</v>
      </c>
      <c r="I15" s="34">
        <v>1.2658227848101266E-2</v>
      </c>
      <c r="J15" s="3">
        <v>20</v>
      </c>
      <c r="K15" s="3">
        <v>0</v>
      </c>
      <c r="L15" s="3">
        <v>7.0000000000000007E-2</v>
      </c>
      <c r="M15" s="3">
        <v>0.3</v>
      </c>
      <c r="N15" s="25" t="s">
        <v>47</v>
      </c>
      <c r="O15" s="25"/>
      <c r="P15" s="33"/>
      <c r="Q15" s="34"/>
    </row>
    <row r="16" spans="1:21">
      <c r="A16" s="25">
        <v>14</v>
      </c>
      <c r="B16" s="25">
        <v>0</v>
      </c>
      <c r="C16" s="8" t="s">
        <v>29</v>
      </c>
      <c r="D16" s="25">
        <v>1642</v>
      </c>
      <c r="E16" s="25">
        <v>73</v>
      </c>
      <c r="F16" s="25">
        <v>0</v>
      </c>
      <c r="G16" s="25">
        <v>0</v>
      </c>
      <c r="H16" s="3">
        <v>1642000</v>
      </c>
      <c r="I16" s="34">
        <v>4.4457978075517664E-2</v>
      </c>
      <c r="J16" s="3">
        <v>25</v>
      </c>
      <c r="K16" s="3">
        <v>0</v>
      </c>
      <c r="L16" s="3">
        <v>8.900000000000001E-2</v>
      </c>
      <c r="M16" s="25">
        <v>0.4</v>
      </c>
      <c r="N16" s="25" t="s">
        <v>47</v>
      </c>
      <c r="O16" s="25"/>
      <c r="P16" s="33"/>
      <c r="Q16" s="34"/>
    </row>
    <row r="17" spans="1:18">
      <c r="A17" s="25">
        <v>15</v>
      </c>
      <c r="B17" s="25">
        <v>40960.94</v>
      </c>
      <c r="C17" s="8" t="s">
        <v>1</v>
      </c>
      <c r="D17" s="25">
        <v>440</v>
      </c>
      <c r="E17" s="25">
        <v>10.9</v>
      </c>
      <c r="F17" s="25">
        <v>66.8</v>
      </c>
      <c r="G17" s="25">
        <v>66.8</v>
      </c>
      <c r="H17" s="3">
        <v>440000</v>
      </c>
      <c r="I17" s="34">
        <v>2.4772727272727273E-2</v>
      </c>
      <c r="J17" s="3">
        <v>25</v>
      </c>
      <c r="K17" s="3">
        <v>0.52060000000000006</v>
      </c>
      <c r="L17" s="3">
        <v>8.8999999999999996E-2</v>
      </c>
      <c r="M17" s="25">
        <v>0.2</v>
      </c>
      <c r="N17" s="25" t="s">
        <v>47</v>
      </c>
      <c r="O17" s="25"/>
      <c r="P17" s="33"/>
      <c r="Q17" s="34"/>
      <c r="R17" s="3"/>
    </row>
    <row r="18" spans="1:18">
      <c r="A18" s="25">
        <v>16</v>
      </c>
      <c r="B18" s="25">
        <v>15010.6</v>
      </c>
      <c r="C18" s="8" t="s">
        <v>30</v>
      </c>
      <c r="D18" s="25">
        <v>1017</v>
      </c>
      <c r="E18" s="25">
        <v>25.5</v>
      </c>
      <c r="F18" s="25">
        <v>0</v>
      </c>
      <c r="G18" s="25">
        <v>0</v>
      </c>
      <c r="H18" s="3">
        <v>1017000</v>
      </c>
      <c r="I18" s="34">
        <v>2.5073746312684365E-2</v>
      </c>
      <c r="J18" s="3">
        <v>25</v>
      </c>
      <c r="K18" s="3">
        <v>0</v>
      </c>
      <c r="L18" s="3">
        <v>7.9000000000000001E-2</v>
      </c>
      <c r="M18" s="25">
        <v>0.4</v>
      </c>
      <c r="N18" s="25" t="s">
        <v>47</v>
      </c>
      <c r="O18" s="25"/>
      <c r="P18" s="33"/>
      <c r="Q18" s="34"/>
      <c r="R18" s="3"/>
    </row>
    <row r="19" spans="1:18">
      <c r="A19" s="25">
        <v>17</v>
      </c>
      <c r="B19" s="25">
        <v>5822.28</v>
      </c>
      <c r="C19" s="8" t="s">
        <v>31</v>
      </c>
      <c r="D19" s="25">
        <v>440</v>
      </c>
      <c r="E19" s="25">
        <v>10.9</v>
      </c>
      <c r="F19" s="25">
        <v>66.8</v>
      </c>
      <c r="G19" s="25">
        <v>66.8</v>
      </c>
      <c r="H19" s="3">
        <v>440000</v>
      </c>
      <c r="I19" s="34">
        <v>2.4772727272727273E-2</v>
      </c>
      <c r="J19" s="3">
        <v>25</v>
      </c>
      <c r="K19" s="3">
        <v>0.31880000000000003</v>
      </c>
      <c r="L19" s="3">
        <v>8.8999999999999996E-2</v>
      </c>
      <c r="M19" s="25">
        <v>0.92</v>
      </c>
      <c r="N19" s="25" t="s">
        <v>47</v>
      </c>
      <c r="O19" s="25"/>
      <c r="P19" s="33"/>
      <c r="Q19" s="34"/>
      <c r="R19" s="3"/>
    </row>
    <row r="20" spans="1:18">
      <c r="A20" s="25">
        <v>18</v>
      </c>
      <c r="B20" s="25">
        <v>0</v>
      </c>
      <c r="C20" s="8" t="s">
        <v>32</v>
      </c>
      <c r="D20" s="25">
        <v>3500</v>
      </c>
      <c r="E20" s="25">
        <v>24.9</v>
      </c>
      <c r="F20" s="25">
        <v>69</v>
      </c>
      <c r="G20" s="25">
        <v>69</v>
      </c>
      <c r="H20" s="3">
        <v>3500000</v>
      </c>
      <c r="I20" s="34">
        <v>7.1142857142857136E-3</v>
      </c>
      <c r="J20" s="3">
        <v>15</v>
      </c>
      <c r="K20" s="3">
        <v>0.31880000000000003</v>
      </c>
      <c r="L20" s="3">
        <v>7.4999999999999997E-2</v>
      </c>
      <c r="M20" s="25">
        <v>0.83</v>
      </c>
      <c r="N20" s="25" t="s">
        <v>47</v>
      </c>
      <c r="O20" s="25"/>
      <c r="P20" s="33"/>
      <c r="Q20" s="34"/>
      <c r="R20" s="3"/>
    </row>
    <row r="21" spans="1:18">
      <c r="A21" s="25">
        <v>19</v>
      </c>
      <c r="B21" s="25">
        <v>0</v>
      </c>
      <c r="C21" s="8" t="s">
        <v>33</v>
      </c>
      <c r="D21" s="25">
        <v>910</v>
      </c>
      <c r="E21" s="25">
        <v>24.9</v>
      </c>
      <c r="F21" s="25">
        <v>69</v>
      </c>
      <c r="G21" s="25">
        <v>69</v>
      </c>
      <c r="H21" s="3">
        <v>910000</v>
      </c>
      <c r="I21" s="34">
        <v>2.736263736263736E-2</v>
      </c>
      <c r="J21" s="3">
        <v>15</v>
      </c>
      <c r="K21" s="3">
        <v>0.31880000000000003</v>
      </c>
      <c r="L21" s="3">
        <v>7.4999999999999997E-2</v>
      </c>
      <c r="M21" s="25">
        <v>0.83</v>
      </c>
      <c r="N21" s="25" t="s">
        <v>47</v>
      </c>
      <c r="O21" s="25"/>
      <c r="P21" s="33"/>
      <c r="Q21" s="34"/>
      <c r="R21" s="3"/>
    </row>
    <row r="22" spans="1:18">
      <c r="A22" s="25">
        <v>20</v>
      </c>
      <c r="B22" s="25">
        <v>0</v>
      </c>
      <c r="C22" s="8" t="s">
        <v>34</v>
      </c>
      <c r="D22" s="25">
        <v>465</v>
      </c>
      <c r="E22" s="25">
        <v>48.5</v>
      </c>
      <c r="F22" s="25">
        <v>0</v>
      </c>
      <c r="G22" s="25">
        <v>0</v>
      </c>
      <c r="H22" s="3">
        <v>465000</v>
      </c>
      <c r="I22" s="34">
        <v>0.1043010752688172</v>
      </c>
      <c r="J22" s="3">
        <v>25</v>
      </c>
      <c r="K22" s="3">
        <v>0</v>
      </c>
      <c r="L22" s="3">
        <v>7.4999999999999997E-2</v>
      </c>
      <c r="M22" s="25">
        <v>0.5</v>
      </c>
      <c r="N22" s="25" t="s">
        <v>47</v>
      </c>
      <c r="O22" s="25"/>
      <c r="P22" s="33"/>
      <c r="Q22" s="34"/>
      <c r="R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D7B7-F981-4345-AED4-01D56A34EFEC}">
  <dimension ref="A1:U6"/>
  <sheetViews>
    <sheetView workbookViewId="0">
      <selection activeCell="J17" sqref="J17"/>
    </sheetView>
  </sheetViews>
  <sheetFormatPr defaultRowHeight="14.25"/>
  <cols>
    <col min="1" max="1" width="4.86328125" customWidth="1"/>
    <col min="2" max="2" width="10.265625" customWidth="1"/>
    <col min="3" max="4" width="13.33203125" customWidth="1"/>
    <col min="5" max="5" width="14.46484375" customWidth="1"/>
    <col min="8" max="8" width="11.1328125" bestFit="1" customWidth="1"/>
    <col min="9" max="9" width="10.796875" customWidth="1"/>
    <col min="13" max="13" width="9.59765625" customWidth="1"/>
    <col min="15" max="15" width="12.86328125" customWidth="1"/>
    <col min="18" max="18" width="9.1328125" bestFit="1" customWidth="1"/>
  </cols>
  <sheetData>
    <row r="1" spans="1:21" s="12" customFormat="1">
      <c r="A1" s="9" t="s">
        <v>37</v>
      </c>
      <c r="B1" s="9" t="s">
        <v>35</v>
      </c>
      <c r="C1" s="9" t="s">
        <v>36</v>
      </c>
      <c r="D1" s="25" t="s">
        <v>83</v>
      </c>
      <c r="E1" s="25" t="s">
        <v>52</v>
      </c>
      <c r="F1" s="7" t="s">
        <v>12</v>
      </c>
      <c r="G1" s="7" t="s">
        <v>13</v>
      </c>
      <c r="H1" s="9" t="s">
        <v>14</v>
      </c>
      <c r="I1" s="7" t="s">
        <v>15</v>
      </c>
      <c r="J1" s="7" t="s">
        <v>16</v>
      </c>
      <c r="K1" s="7" t="s">
        <v>38</v>
      </c>
      <c r="L1" s="7" t="s">
        <v>39</v>
      </c>
      <c r="M1" s="6" t="s">
        <v>45</v>
      </c>
      <c r="N1" s="7" t="s">
        <v>49</v>
      </c>
      <c r="O1" s="8" t="s">
        <v>46</v>
      </c>
    </row>
    <row r="2" spans="1:21">
      <c r="A2" s="7">
        <v>0</v>
      </c>
      <c r="B2" s="6">
        <v>100000</v>
      </c>
      <c r="C2" s="7" t="s">
        <v>42</v>
      </c>
      <c r="D2" s="7">
        <f>G2/1000</f>
        <v>830</v>
      </c>
      <c r="E2" s="7">
        <v>15.5</v>
      </c>
      <c r="F2" s="10">
        <v>2.95</v>
      </c>
      <c r="G2" s="10">
        <v>830000</v>
      </c>
      <c r="H2" s="33">
        <v>1.8674698795180723E-2</v>
      </c>
      <c r="I2" s="6">
        <v>25</v>
      </c>
      <c r="J2" s="7">
        <v>0</v>
      </c>
      <c r="K2" s="6">
        <v>0.105</v>
      </c>
      <c r="L2" s="6">
        <v>0.6</v>
      </c>
      <c r="M2" s="6">
        <v>0.6</v>
      </c>
      <c r="N2" s="8" t="s">
        <v>47</v>
      </c>
      <c r="O2" s="10"/>
    </row>
    <row r="3" spans="1:21">
      <c r="A3" s="7">
        <v>1</v>
      </c>
      <c r="B3" s="6">
        <v>100000</v>
      </c>
      <c r="C3" s="7" t="s">
        <v>43</v>
      </c>
      <c r="D3" s="7">
        <f t="shared" ref="D3:D6" si="0">G3/1000</f>
        <v>440</v>
      </c>
      <c r="E3" s="7">
        <v>10.9</v>
      </c>
      <c r="F3" s="10">
        <v>6.22</v>
      </c>
      <c r="G3" s="10">
        <v>440000</v>
      </c>
      <c r="H3" s="33">
        <v>2.4772727272727273E-2</v>
      </c>
      <c r="I3" s="6">
        <v>25</v>
      </c>
      <c r="J3" s="7">
        <v>0</v>
      </c>
      <c r="K3" s="6">
        <v>0.105</v>
      </c>
      <c r="L3" s="6">
        <v>0.2</v>
      </c>
      <c r="M3" s="6">
        <v>0.4</v>
      </c>
      <c r="N3" s="8" t="s">
        <v>47</v>
      </c>
      <c r="O3" s="10"/>
    </row>
    <row r="4" spans="1:21">
      <c r="A4" s="7">
        <v>2</v>
      </c>
      <c r="B4" s="6">
        <v>100000</v>
      </c>
      <c r="C4" s="7" t="s">
        <v>44</v>
      </c>
      <c r="D4" s="7">
        <f t="shared" si="0"/>
        <v>465</v>
      </c>
      <c r="E4" s="6">
        <v>48.5</v>
      </c>
      <c r="F4" s="30">
        <v>11.073059360730594</v>
      </c>
      <c r="G4" s="10">
        <v>465000</v>
      </c>
      <c r="H4" s="33">
        <v>0.1043010752688172</v>
      </c>
      <c r="I4" s="6">
        <v>30</v>
      </c>
      <c r="J4" s="6">
        <v>0</v>
      </c>
      <c r="K4" s="6">
        <v>0.1</v>
      </c>
      <c r="L4" s="7">
        <v>0.5</v>
      </c>
      <c r="M4" s="6">
        <v>0.55000000000000004</v>
      </c>
      <c r="N4" s="8" t="s">
        <v>47</v>
      </c>
      <c r="O4" s="10"/>
    </row>
    <row r="5" spans="1:21">
      <c r="A5" s="7">
        <v>3</v>
      </c>
      <c r="B5" s="6">
        <v>100000</v>
      </c>
      <c r="C5" s="6" t="s">
        <v>41</v>
      </c>
      <c r="D5" s="7">
        <f t="shared" si="0"/>
        <v>465</v>
      </c>
      <c r="E5" s="6">
        <v>48.5</v>
      </c>
      <c r="F5" s="30">
        <v>11.073059360730594</v>
      </c>
      <c r="G5" s="10">
        <v>465000</v>
      </c>
      <c r="H5" s="33">
        <v>0.1043010752688172</v>
      </c>
      <c r="I5" s="6">
        <v>30</v>
      </c>
      <c r="J5" s="6">
        <v>0</v>
      </c>
      <c r="K5" s="6">
        <v>0.1</v>
      </c>
      <c r="L5" s="6">
        <v>0.5</v>
      </c>
      <c r="M5" s="6">
        <v>0.74</v>
      </c>
      <c r="N5" s="8" t="s">
        <v>48</v>
      </c>
      <c r="O5" s="10"/>
    </row>
    <row r="6" spans="1:21">
      <c r="A6" s="7">
        <v>4</v>
      </c>
      <c r="B6" s="6">
        <v>100000</v>
      </c>
      <c r="C6" s="6" t="s">
        <v>40</v>
      </c>
      <c r="D6" s="7">
        <f t="shared" si="0"/>
        <v>384</v>
      </c>
      <c r="E6" s="6">
        <v>24.4</v>
      </c>
      <c r="F6" s="10">
        <v>36.380000000000003</v>
      </c>
      <c r="G6" s="10">
        <v>384000</v>
      </c>
      <c r="H6" s="33">
        <v>6.3541666666666663E-2</v>
      </c>
      <c r="I6" s="6">
        <v>40</v>
      </c>
      <c r="J6" s="6">
        <v>2.1999999999999999E-2</v>
      </c>
      <c r="K6" s="6">
        <v>0.1</v>
      </c>
      <c r="L6" s="6">
        <v>0.85</v>
      </c>
      <c r="M6" s="6">
        <v>0.75</v>
      </c>
      <c r="N6" s="8" t="s">
        <v>48</v>
      </c>
      <c r="O6" s="10"/>
      <c r="R6" s="1"/>
      <c r="U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"/>
  <sheetViews>
    <sheetView workbookViewId="0">
      <selection activeCell="N14" sqref="N14"/>
    </sheetView>
  </sheetViews>
  <sheetFormatPr defaultRowHeight="14.25"/>
  <cols>
    <col min="1" max="1" width="12.33203125" customWidth="1"/>
    <col min="3" max="3" width="12.796875" customWidth="1"/>
    <col min="6" max="6" width="11.59765625" customWidth="1"/>
  </cols>
  <sheetData>
    <row r="1" spans="1:17" ht="42.75">
      <c r="A1" s="3" t="s">
        <v>5</v>
      </c>
      <c r="B1" s="3" t="s">
        <v>10</v>
      </c>
      <c r="C1" s="3" t="s">
        <v>11</v>
      </c>
      <c r="D1" s="3" t="s">
        <v>2</v>
      </c>
      <c r="E1" s="3" t="s">
        <v>3</v>
      </c>
      <c r="F1" s="3" t="s">
        <v>4</v>
      </c>
      <c r="G1" s="3" t="s">
        <v>6</v>
      </c>
      <c r="H1" s="9" t="s">
        <v>39</v>
      </c>
      <c r="I1" s="4"/>
      <c r="J1" s="4"/>
    </row>
    <row r="2" spans="1:17">
      <c r="A2" s="1" t="s">
        <v>7</v>
      </c>
      <c r="B2" s="1">
        <v>465000</v>
      </c>
      <c r="C2" s="1">
        <v>48500</v>
      </c>
      <c r="D2" s="2">
        <v>0.1</v>
      </c>
      <c r="E2" s="1">
        <v>30</v>
      </c>
      <c r="F2" s="1">
        <v>0</v>
      </c>
      <c r="G2" s="2">
        <v>0.74</v>
      </c>
      <c r="H2" s="1">
        <v>0.5</v>
      </c>
      <c r="I2" s="5"/>
      <c r="J2" s="31">
        <f>C2/B2</f>
        <v>0.1043010752688172</v>
      </c>
      <c r="K2" s="31"/>
      <c r="L2" s="31"/>
      <c r="M2" s="31"/>
      <c r="N2" s="31"/>
    </row>
    <row r="3" spans="1:17">
      <c r="A3" s="1" t="s">
        <v>8</v>
      </c>
      <c r="B3" s="1">
        <v>384000</v>
      </c>
      <c r="C3" s="1">
        <v>24400</v>
      </c>
      <c r="D3" s="2">
        <v>0.1</v>
      </c>
      <c r="E3" s="1">
        <v>40</v>
      </c>
      <c r="F3" s="1">
        <v>21.9</v>
      </c>
      <c r="G3" s="2">
        <v>0.84</v>
      </c>
      <c r="H3" s="1">
        <v>0.85</v>
      </c>
      <c r="I3" s="5"/>
      <c r="J3" s="31">
        <f>C3/B3</f>
        <v>6.3541666666666663E-2</v>
      </c>
      <c r="K3" s="31">
        <v>33.1</v>
      </c>
      <c r="L3" s="31">
        <f>C3/(8760*H3)</f>
        <v>3.2769272092398603</v>
      </c>
      <c r="M3" s="32">
        <f>K3+L3</f>
        <v>36.376927209239859</v>
      </c>
      <c r="N3" s="31">
        <f>M3*H3*8760</f>
        <v>270862.59999999998</v>
      </c>
    </row>
    <row r="5" spans="1:17" s="8" customFormat="1">
      <c r="A5" s="8" t="s">
        <v>81</v>
      </c>
      <c r="B5" s="10">
        <v>55.2</v>
      </c>
      <c r="C5" s="10">
        <v>760000</v>
      </c>
      <c r="D5" s="30">
        <v>6.3541666666666663E-2</v>
      </c>
      <c r="E5" s="10">
        <v>30</v>
      </c>
      <c r="F5" s="10">
        <v>0</v>
      </c>
      <c r="G5" s="7">
        <v>7.0000000000000007E-2</v>
      </c>
      <c r="H5" s="6">
        <v>0.3</v>
      </c>
      <c r="I5" s="6">
        <v>0.95</v>
      </c>
      <c r="J5" s="8">
        <v>145065.60000000001</v>
      </c>
      <c r="K5" s="8" t="s">
        <v>48</v>
      </c>
      <c r="N5" s="10"/>
      <c r="O5" s="10"/>
      <c r="Q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62B-7C52-4111-9872-307AE8BD2003}">
  <dimension ref="A1:C25"/>
  <sheetViews>
    <sheetView topLeftCell="A4" workbookViewId="0">
      <selection activeCell="D20" sqref="D20"/>
    </sheetView>
  </sheetViews>
  <sheetFormatPr defaultRowHeight="14.25"/>
  <cols>
    <col min="1" max="1" width="15.33203125" style="8" customWidth="1"/>
    <col min="2" max="2" width="24.3984375" style="8" customWidth="1"/>
  </cols>
  <sheetData>
    <row r="1" spans="1:3">
      <c r="A1" s="26" t="s">
        <v>66</v>
      </c>
      <c r="B1" s="24" t="s">
        <v>78</v>
      </c>
    </row>
    <row r="2" spans="1:3">
      <c r="A2" s="8" t="s">
        <v>17</v>
      </c>
      <c r="B2" s="3">
        <v>42</v>
      </c>
    </row>
    <row r="3" spans="1:3">
      <c r="A3" s="8" t="s">
        <v>18</v>
      </c>
      <c r="B3" s="3">
        <v>47</v>
      </c>
    </row>
    <row r="4" spans="1:3">
      <c r="A4" s="8" t="s">
        <v>19</v>
      </c>
      <c r="B4" s="22">
        <v>45.800811770674784</v>
      </c>
    </row>
    <row r="5" spans="1:3">
      <c r="A5" s="8" t="s">
        <v>20</v>
      </c>
      <c r="B5" s="3">
        <v>38.26</v>
      </c>
    </row>
    <row r="6" spans="1:3">
      <c r="A6" s="8" t="s">
        <v>0</v>
      </c>
      <c r="B6" s="3">
        <v>15.58</v>
      </c>
    </row>
    <row r="7" spans="1:3">
      <c r="A7" s="8" t="s">
        <v>21</v>
      </c>
      <c r="B7" s="3">
        <v>127</v>
      </c>
    </row>
    <row r="8" spans="1:3">
      <c r="A8" s="8" t="s">
        <v>22</v>
      </c>
      <c r="B8" s="3">
        <v>7.88</v>
      </c>
    </row>
    <row r="9" spans="1:3">
      <c r="A9" s="8" t="s">
        <v>23</v>
      </c>
      <c r="B9" s="3">
        <v>5.81</v>
      </c>
    </row>
    <row r="10" spans="1:3">
      <c r="A10" s="8" t="s">
        <v>24</v>
      </c>
      <c r="B10" s="3">
        <v>25</v>
      </c>
    </row>
    <row r="11" spans="1:3">
      <c r="A11" s="8" t="s">
        <v>25</v>
      </c>
      <c r="B11" s="3">
        <v>29.37</v>
      </c>
    </row>
    <row r="12" spans="1:3">
      <c r="A12" s="8" t="s">
        <v>26</v>
      </c>
      <c r="B12" s="3">
        <v>36.31</v>
      </c>
    </row>
    <row r="13" spans="1:3">
      <c r="A13" s="8" t="s">
        <v>27</v>
      </c>
      <c r="B13" s="3">
        <v>10.4</v>
      </c>
    </row>
    <row r="14" spans="1:3">
      <c r="A14" s="8" t="s">
        <v>28</v>
      </c>
      <c r="B14" s="3">
        <v>10.4</v>
      </c>
    </row>
    <row r="15" spans="1:3">
      <c r="A15" s="10" t="s">
        <v>80</v>
      </c>
      <c r="B15" s="3">
        <v>5</v>
      </c>
      <c r="C15">
        <v>45.71</v>
      </c>
    </row>
    <row r="16" spans="1:3">
      <c r="A16" s="8" t="s">
        <v>29</v>
      </c>
      <c r="B16" s="3">
        <v>73</v>
      </c>
    </row>
    <row r="17" spans="1:3">
      <c r="A17" s="8" t="s">
        <v>1</v>
      </c>
      <c r="B17" s="22">
        <v>73.021461187214612</v>
      </c>
    </row>
    <row r="18" spans="1:3">
      <c r="A18" s="8" t="s">
        <v>30</v>
      </c>
      <c r="B18" s="3">
        <v>6.47</v>
      </c>
    </row>
    <row r="19" spans="1:3">
      <c r="A19" s="8" t="s">
        <v>31</v>
      </c>
      <c r="B19" s="22">
        <v>47.735675997617626</v>
      </c>
    </row>
    <row r="20" spans="1:3">
      <c r="A20" s="8" t="s">
        <v>32</v>
      </c>
      <c r="B20" s="3">
        <v>95</v>
      </c>
    </row>
    <row r="21" spans="1:3">
      <c r="A21" s="8" t="s">
        <v>33</v>
      </c>
      <c r="B21" s="22">
        <v>72.424657534246577</v>
      </c>
    </row>
    <row r="22" spans="1:3">
      <c r="A22" s="8" t="s">
        <v>34</v>
      </c>
      <c r="B22" s="3">
        <v>2.95</v>
      </c>
    </row>
    <row r="23" spans="1:3">
      <c r="A23" s="6" t="s">
        <v>77</v>
      </c>
      <c r="B23" s="22">
        <v>11.073059360730594</v>
      </c>
    </row>
    <row r="24" spans="1:3">
      <c r="A24" t="s">
        <v>79</v>
      </c>
      <c r="B24" s="3">
        <v>36.380000000000003</v>
      </c>
    </row>
    <row r="25" spans="1:3">
      <c r="A25" t="s">
        <v>81</v>
      </c>
      <c r="B25" s="12">
        <v>14.8</v>
      </c>
      <c r="C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1FA3-F332-47D8-966E-20DCADBBA67E}">
  <dimension ref="A1:V30"/>
  <sheetViews>
    <sheetView topLeftCell="A5" workbookViewId="0">
      <selection activeCell="A25" sqref="A25:O30"/>
    </sheetView>
  </sheetViews>
  <sheetFormatPr defaultRowHeight="14.25"/>
  <cols>
    <col min="3" max="3" width="15.33203125" customWidth="1"/>
    <col min="4" max="4" width="8" customWidth="1"/>
    <col min="5" max="5" width="13.796875" customWidth="1"/>
    <col min="6" max="6" width="10.46484375" customWidth="1"/>
    <col min="7" max="7" width="9.86328125" customWidth="1"/>
    <col min="9" max="9" width="12.53125" customWidth="1"/>
    <col min="10" max="10" width="11.19921875" customWidth="1"/>
    <col min="14" max="14" width="14.796875" style="12" customWidth="1"/>
    <col min="16" max="16" width="4.33203125" customWidth="1"/>
    <col min="17" max="17" width="15.9296875" customWidth="1"/>
    <col min="18" max="18" width="9.86328125" customWidth="1"/>
    <col min="19" max="19" width="11.33203125" customWidth="1"/>
  </cols>
  <sheetData>
    <row r="1" spans="1:22" s="25" customFormat="1">
      <c r="A1" s="25" t="s">
        <v>37</v>
      </c>
      <c r="B1" s="25" t="s">
        <v>35</v>
      </c>
      <c r="C1" s="25" t="s">
        <v>36</v>
      </c>
      <c r="D1" s="25" t="s">
        <v>83</v>
      </c>
      <c r="E1" s="25" t="s">
        <v>52</v>
      </c>
      <c r="F1" s="25" t="s">
        <v>53</v>
      </c>
      <c r="G1" s="25" t="s">
        <v>12</v>
      </c>
      <c r="H1" s="25" t="s">
        <v>13</v>
      </c>
      <c r="I1" s="25" t="s">
        <v>14</v>
      </c>
      <c r="J1" s="25" t="s">
        <v>15</v>
      </c>
      <c r="K1" s="25" t="s">
        <v>16</v>
      </c>
      <c r="L1" s="25" t="s">
        <v>38</v>
      </c>
      <c r="M1" s="25" t="s">
        <v>39</v>
      </c>
      <c r="N1" s="25" t="s">
        <v>46</v>
      </c>
      <c r="O1" s="25" t="s">
        <v>49</v>
      </c>
      <c r="Q1"/>
      <c r="R1"/>
      <c r="S1"/>
      <c r="T1"/>
      <c r="U1"/>
      <c r="V1"/>
    </row>
    <row r="2" spans="1:22">
      <c r="A2" s="8">
        <v>0</v>
      </c>
      <c r="B2" s="8">
        <v>0</v>
      </c>
      <c r="C2" s="8" t="s">
        <v>17</v>
      </c>
      <c r="D2" s="8">
        <v>3000</v>
      </c>
      <c r="E2" s="8">
        <v>31</v>
      </c>
      <c r="F2" s="8">
        <v>62</v>
      </c>
      <c r="G2" s="3">
        <v>42</v>
      </c>
      <c r="H2" s="10">
        <v>3000000</v>
      </c>
      <c r="I2" s="34">
        <v>1.0333333333333333E-2</v>
      </c>
      <c r="J2" s="10">
        <v>25</v>
      </c>
      <c r="K2" s="10">
        <v>0.9</v>
      </c>
      <c r="L2" s="10">
        <v>0.13500000000000001</v>
      </c>
      <c r="M2" s="7">
        <v>0.9</v>
      </c>
      <c r="N2" s="25">
        <v>331128</v>
      </c>
      <c r="O2" s="8" t="s">
        <v>47</v>
      </c>
      <c r="P2" s="8"/>
      <c r="Q2" s="33">
        <f>E2/(8760*M2)*1000</f>
        <v>3.9320142059868086</v>
      </c>
      <c r="R2" s="34">
        <f>Q2+F2</f>
        <v>65.932014205986803</v>
      </c>
    </row>
    <row r="3" spans="1:22">
      <c r="A3" s="8">
        <v>1</v>
      </c>
      <c r="B3" s="8">
        <v>0</v>
      </c>
      <c r="C3" s="8" t="s">
        <v>18</v>
      </c>
      <c r="D3" s="8">
        <v>581</v>
      </c>
      <c r="E3" s="8">
        <v>15.6</v>
      </c>
      <c r="F3" s="8">
        <v>45.8</v>
      </c>
      <c r="G3" s="3">
        <v>47</v>
      </c>
      <c r="H3" s="10">
        <v>581000</v>
      </c>
      <c r="I3" s="34">
        <v>2.6850258175559381E-2</v>
      </c>
      <c r="J3" s="10">
        <v>25</v>
      </c>
      <c r="K3" s="10">
        <v>0.31880000000000003</v>
      </c>
      <c r="L3" s="10">
        <v>7.4999999999999997E-2</v>
      </c>
      <c r="M3" s="7">
        <v>0.92</v>
      </c>
      <c r="N3" s="25">
        <v>378782.4</v>
      </c>
      <c r="O3" s="8" t="s">
        <v>47</v>
      </c>
      <c r="P3" s="8"/>
      <c r="Q3" s="33">
        <f t="shared" ref="Q3:Q21" si="0">E3/(8760*M3)*1000</f>
        <v>1.9356759976176294</v>
      </c>
      <c r="R3" s="34">
        <f t="shared" ref="R3:R22" si="1">Q3+F3</f>
        <v>47.735675997617626</v>
      </c>
    </row>
    <row r="4" spans="1:22">
      <c r="A4" s="8">
        <v>2</v>
      </c>
      <c r="B4" s="8">
        <v>30.74</v>
      </c>
      <c r="C4" s="8" t="s">
        <v>19</v>
      </c>
      <c r="D4" s="8">
        <v>3403</v>
      </c>
      <c r="E4" s="8">
        <v>82</v>
      </c>
      <c r="F4" s="8">
        <v>35.4</v>
      </c>
      <c r="G4" s="22">
        <v>45.800811770674784</v>
      </c>
      <c r="H4" s="10">
        <v>3403000</v>
      </c>
      <c r="I4" s="34">
        <v>2.4096385542168676E-2</v>
      </c>
      <c r="J4" s="10">
        <v>25</v>
      </c>
      <c r="K4" s="10">
        <v>0.13500000000000001</v>
      </c>
      <c r="L4" s="10">
        <v>0.13500000000000001</v>
      </c>
      <c r="M4" s="7">
        <v>0.9</v>
      </c>
      <c r="N4" s="25">
        <v>361093.60000000003</v>
      </c>
      <c r="O4" s="8" t="s">
        <v>47</v>
      </c>
      <c r="P4" s="8"/>
      <c r="Q4" s="33">
        <f t="shared" si="0"/>
        <v>10.400811770674784</v>
      </c>
      <c r="R4" s="34">
        <f t="shared" si="1"/>
        <v>45.800811770674784</v>
      </c>
    </row>
    <row r="5" spans="1:22">
      <c r="A5" s="8">
        <v>3</v>
      </c>
      <c r="B5" s="8">
        <v>29948.41</v>
      </c>
      <c r="C5" s="8" t="s">
        <v>20</v>
      </c>
      <c r="D5" s="8">
        <v>2361</v>
      </c>
      <c r="E5" s="8">
        <v>41.6</v>
      </c>
      <c r="F5" s="8">
        <v>33.1</v>
      </c>
      <c r="G5" s="3">
        <v>38.26</v>
      </c>
      <c r="H5" s="10">
        <v>2361000</v>
      </c>
      <c r="I5" s="34">
        <v>1.7619652689538332E-2</v>
      </c>
      <c r="J5" s="10">
        <v>25</v>
      </c>
      <c r="K5" s="10">
        <v>0.13500000000000001</v>
      </c>
      <c r="L5" s="10">
        <v>0.13800000000000001</v>
      </c>
      <c r="M5" s="7">
        <v>0.92</v>
      </c>
      <c r="N5" s="25">
        <v>308344.99199999997</v>
      </c>
      <c r="O5" s="8" t="s">
        <v>47</v>
      </c>
      <c r="P5" s="8"/>
      <c r="Q5" s="33">
        <f t="shared" si="0"/>
        <v>5.1618026603136791</v>
      </c>
      <c r="R5" s="34">
        <f t="shared" si="1"/>
        <v>38.261802660313677</v>
      </c>
    </row>
    <row r="6" spans="1:22">
      <c r="A6" s="8">
        <v>4</v>
      </c>
      <c r="B6" s="8">
        <v>217143.11</v>
      </c>
      <c r="C6" s="8" t="s">
        <v>0</v>
      </c>
      <c r="D6" s="8">
        <v>5191</v>
      </c>
      <c r="E6" s="8">
        <v>83.4</v>
      </c>
      <c r="F6" s="8">
        <v>5</v>
      </c>
      <c r="G6" s="3">
        <v>15.58</v>
      </c>
      <c r="H6" s="10">
        <v>5191000</v>
      </c>
      <c r="I6" s="34">
        <v>1.6066268541706803E-2</v>
      </c>
      <c r="J6" s="10">
        <v>40</v>
      </c>
      <c r="K6" s="10">
        <v>0</v>
      </c>
      <c r="L6" s="10">
        <v>9.5000000000000001E-2</v>
      </c>
      <c r="M6" s="7">
        <v>0.9</v>
      </c>
      <c r="N6" s="25">
        <v>122832.71999999999</v>
      </c>
      <c r="O6" s="8" t="s">
        <v>47</v>
      </c>
      <c r="P6" s="8"/>
      <c r="Q6" s="33">
        <f t="shared" si="0"/>
        <v>10.578386605783866</v>
      </c>
      <c r="R6" s="34">
        <f t="shared" si="1"/>
        <v>15.578386605783866</v>
      </c>
    </row>
    <row r="7" spans="1:22">
      <c r="A7" s="8">
        <v>5</v>
      </c>
      <c r="B7" s="8">
        <v>0</v>
      </c>
      <c r="C7" s="8" t="s">
        <v>21</v>
      </c>
      <c r="D7" s="8">
        <v>440</v>
      </c>
      <c r="E7" s="8">
        <v>10.9</v>
      </c>
      <c r="F7" s="8">
        <v>66.8</v>
      </c>
      <c r="G7" s="3">
        <v>127</v>
      </c>
      <c r="H7" s="10">
        <v>440000</v>
      </c>
      <c r="I7" s="34">
        <v>2.4772727272727273E-2</v>
      </c>
      <c r="J7" s="10">
        <v>25</v>
      </c>
      <c r="K7" s="10">
        <v>0.52060000000000006</v>
      </c>
      <c r="L7" s="10">
        <v>8.8999999999999996E-2</v>
      </c>
      <c r="M7" s="7">
        <v>0.2</v>
      </c>
      <c r="N7" s="25">
        <v>222504</v>
      </c>
      <c r="O7" s="8" t="s">
        <v>47</v>
      </c>
      <c r="P7" s="8"/>
      <c r="Q7" s="33">
        <f t="shared" si="0"/>
        <v>6.2214611872146124</v>
      </c>
      <c r="R7" s="34">
        <f t="shared" si="1"/>
        <v>73.021461187214612</v>
      </c>
    </row>
    <row r="8" spans="1:22">
      <c r="A8" s="8">
        <v>6</v>
      </c>
      <c r="B8" s="8">
        <v>475089.05</v>
      </c>
      <c r="C8" s="8" t="s">
        <v>22</v>
      </c>
      <c r="D8" s="8">
        <v>1578</v>
      </c>
      <c r="E8" s="8">
        <v>42.1</v>
      </c>
      <c r="F8" s="8">
        <v>0</v>
      </c>
      <c r="G8" s="3">
        <v>7.88</v>
      </c>
      <c r="H8" s="10">
        <v>1578000</v>
      </c>
      <c r="I8" s="34">
        <v>2.6679340937896073E-2</v>
      </c>
      <c r="J8" s="10">
        <v>30</v>
      </c>
      <c r="K8" s="10">
        <v>0</v>
      </c>
      <c r="L8" s="10">
        <v>8.900000000000001E-2</v>
      </c>
      <c r="M8" s="7">
        <v>0.5</v>
      </c>
      <c r="N8" s="25">
        <v>34514.400000000001</v>
      </c>
      <c r="O8" s="8" t="s">
        <v>47</v>
      </c>
      <c r="P8" s="8"/>
      <c r="Q8" s="33">
        <f t="shared" si="0"/>
        <v>9.6118721461187224</v>
      </c>
      <c r="R8" s="34">
        <f t="shared" si="1"/>
        <v>9.6118721461187224</v>
      </c>
    </row>
    <row r="9" spans="1:22">
      <c r="A9" s="8">
        <v>7</v>
      </c>
      <c r="B9" s="8">
        <v>991411.99</v>
      </c>
      <c r="C9" s="8" t="s">
        <v>23</v>
      </c>
      <c r="D9" s="8">
        <v>457</v>
      </c>
      <c r="E9" s="8">
        <v>5.6</v>
      </c>
      <c r="F9" s="8">
        <v>0</v>
      </c>
      <c r="G9" s="3">
        <v>5.81</v>
      </c>
      <c r="H9" s="10">
        <v>457000</v>
      </c>
      <c r="I9" s="34">
        <v>1.2253829321663018E-2</v>
      </c>
      <c r="J9" s="10">
        <v>35</v>
      </c>
      <c r="K9" s="10">
        <v>0</v>
      </c>
      <c r="L9" s="10">
        <v>6.9000000000000006E-2</v>
      </c>
      <c r="M9" s="7">
        <v>0.15</v>
      </c>
      <c r="N9" s="25">
        <v>7634.3399999999992</v>
      </c>
      <c r="O9" s="8" t="s">
        <v>47</v>
      </c>
      <c r="P9" s="8"/>
      <c r="Q9" s="33">
        <f t="shared" si="0"/>
        <v>4.2617960426179602</v>
      </c>
      <c r="R9" s="34">
        <f t="shared" si="1"/>
        <v>4.2617960426179602</v>
      </c>
    </row>
    <row r="10" spans="1:22">
      <c r="A10" s="8">
        <v>8</v>
      </c>
      <c r="B10" s="8">
        <v>0</v>
      </c>
      <c r="C10" s="8" t="s">
        <v>24</v>
      </c>
      <c r="D10" s="8">
        <v>3000</v>
      </c>
      <c r="E10" s="8">
        <v>16</v>
      </c>
      <c r="F10" s="8">
        <v>0</v>
      </c>
      <c r="G10" s="3">
        <v>25</v>
      </c>
      <c r="H10" s="10">
        <v>3000000</v>
      </c>
      <c r="I10" s="34">
        <v>5.3333333333333332E-3</v>
      </c>
      <c r="J10" s="10">
        <v>25</v>
      </c>
      <c r="K10" s="10">
        <v>0</v>
      </c>
      <c r="L10" s="10">
        <v>5.7999999999999996E-2</v>
      </c>
      <c r="M10" s="7">
        <v>0.15</v>
      </c>
      <c r="N10" s="25">
        <v>32850</v>
      </c>
      <c r="O10" s="8" t="s">
        <v>47</v>
      </c>
      <c r="P10" s="8"/>
      <c r="Q10" s="33">
        <f t="shared" si="0"/>
        <v>12.176560121765601</v>
      </c>
      <c r="R10" s="34">
        <f t="shared" si="1"/>
        <v>12.176560121765601</v>
      </c>
    </row>
    <row r="11" spans="1:22">
      <c r="A11" s="8">
        <v>9</v>
      </c>
      <c r="B11" s="8">
        <v>76392.14</v>
      </c>
      <c r="C11" s="8" t="s">
        <v>25</v>
      </c>
      <c r="D11" s="8">
        <v>3403</v>
      </c>
      <c r="E11" s="8">
        <v>119.8</v>
      </c>
      <c r="F11" s="8">
        <v>14</v>
      </c>
      <c r="G11" s="3">
        <v>29.37</v>
      </c>
      <c r="H11" s="10">
        <v>3403000</v>
      </c>
      <c r="I11" s="34">
        <v>3.5204231560387891E-2</v>
      </c>
      <c r="J11" s="10">
        <v>25</v>
      </c>
      <c r="K11" s="10">
        <v>0.31880000000000003</v>
      </c>
      <c r="L11" s="10">
        <v>0.112</v>
      </c>
      <c r="M11" s="7">
        <v>0.89</v>
      </c>
      <c r="N11" s="25">
        <v>228980.26800000001</v>
      </c>
      <c r="O11" s="8" t="s">
        <v>47</v>
      </c>
      <c r="P11" s="8"/>
      <c r="Q11" s="33">
        <f t="shared" si="0"/>
        <v>15.366066389615719</v>
      </c>
      <c r="R11" s="34">
        <f t="shared" si="1"/>
        <v>29.366066389615717</v>
      </c>
    </row>
    <row r="12" spans="1:22">
      <c r="A12" s="8">
        <v>10</v>
      </c>
      <c r="B12" s="8">
        <v>0</v>
      </c>
      <c r="C12" s="8" t="s">
        <v>26</v>
      </c>
      <c r="D12" s="8">
        <v>4800</v>
      </c>
      <c r="E12" s="8">
        <v>140</v>
      </c>
      <c r="F12" s="8">
        <v>15</v>
      </c>
      <c r="G12" s="3">
        <v>36.31</v>
      </c>
      <c r="H12" s="10">
        <v>4800000</v>
      </c>
      <c r="I12" s="34">
        <v>2.9166666666666667E-2</v>
      </c>
      <c r="J12" s="10">
        <v>30</v>
      </c>
      <c r="K12" s="10">
        <v>0</v>
      </c>
      <c r="L12" s="10">
        <v>8.5000000000000006E-2</v>
      </c>
      <c r="M12" s="7">
        <v>0.75</v>
      </c>
      <c r="N12" s="25">
        <v>238556.7</v>
      </c>
      <c r="O12" s="8" t="s">
        <v>47</v>
      </c>
      <c r="P12" s="8"/>
      <c r="Q12" s="33">
        <f t="shared" si="0"/>
        <v>21.3089802130898</v>
      </c>
      <c r="R12" s="34">
        <f t="shared" si="1"/>
        <v>36.308980213089797</v>
      </c>
    </row>
    <row r="13" spans="1:22">
      <c r="A13" s="8">
        <v>11</v>
      </c>
      <c r="B13" s="8">
        <v>63247</v>
      </c>
      <c r="C13" s="8" t="s">
        <v>27</v>
      </c>
      <c r="D13" s="8">
        <v>3475</v>
      </c>
      <c r="E13" s="8">
        <v>48.3</v>
      </c>
      <c r="F13" s="8">
        <v>0</v>
      </c>
      <c r="G13" s="3">
        <v>10.4</v>
      </c>
      <c r="H13" s="10">
        <v>3475000</v>
      </c>
      <c r="I13" s="34">
        <v>1.3899280575539567E-2</v>
      </c>
      <c r="J13" s="10">
        <v>80</v>
      </c>
      <c r="K13" s="10">
        <v>0</v>
      </c>
      <c r="L13" s="10">
        <v>7.1999999999999995E-2</v>
      </c>
      <c r="M13" s="7">
        <v>0.5</v>
      </c>
      <c r="N13" s="25">
        <v>45552</v>
      </c>
      <c r="O13" s="8" t="s">
        <v>47</v>
      </c>
      <c r="P13" s="8"/>
      <c r="Q13" s="33">
        <f t="shared" si="0"/>
        <v>11.027397260273972</v>
      </c>
      <c r="R13" s="34">
        <f t="shared" si="1"/>
        <v>11.027397260273972</v>
      </c>
    </row>
    <row r="14" spans="1:22">
      <c r="A14" s="8">
        <v>12</v>
      </c>
      <c r="B14" s="8">
        <v>123435</v>
      </c>
      <c r="C14" s="8" t="s">
        <v>28</v>
      </c>
      <c r="D14" s="8">
        <v>3475</v>
      </c>
      <c r="E14" s="8">
        <v>48.3</v>
      </c>
      <c r="F14" s="8">
        <v>0</v>
      </c>
      <c r="G14" s="3">
        <v>10.4</v>
      </c>
      <c r="H14" s="10">
        <v>3475000</v>
      </c>
      <c r="I14" s="34">
        <v>1.3899280575539567E-2</v>
      </c>
      <c r="J14" s="10">
        <v>80</v>
      </c>
      <c r="K14" s="10">
        <v>0</v>
      </c>
      <c r="L14" s="10">
        <v>7.1999999999999995E-2</v>
      </c>
      <c r="M14" s="7">
        <v>0.55000000000000004</v>
      </c>
      <c r="N14" s="25">
        <v>50107.200000000004</v>
      </c>
      <c r="O14" s="8" t="s">
        <v>47</v>
      </c>
      <c r="P14" s="8"/>
      <c r="Q14" s="33">
        <f t="shared" si="0"/>
        <v>10.024906600249066</v>
      </c>
      <c r="R14" s="34">
        <f t="shared" si="1"/>
        <v>10.024906600249066</v>
      </c>
    </row>
    <row r="15" spans="1:22">
      <c r="A15" s="8">
        <v>13</v>
      </c>
      <c r="B15" s="8">
        <v>170596.08</v>
      </c>
      <c r="C15" s="10" t="s">
        <v>9</v>
      </c>
      <c r="D15" s="10">
        <v>395</v>
      </c>
      <c r="E15" s="8">
        <v>5</v>
      </c>
      <c r="F15" s="8">
        <v>41.71</v>
      </c>
      <c r="G15" s="3">
        <v>45.71</v>
      </c>
      <c r="H15" s="10">
        <v>395000</v>
      </c>
      <c r="I15" s="34">
        <v>1.2658227848101266E-2</v>
      </c>
      <c r="J15" s="10">
        <v>20</v>
      </c>
      <c r="K15" s="10">
        <v>0</v>
      </c>
      <c r="L15" s="10">
        <v>7.0000000000000007E-2</v>
      </c>
      <c r="M15" s="10">
        <v>0.3</v>
      </c>
      <c r="N15" s="25">
        <v>120125.88</v>
      </c>
      <c r="O15" s="8" t="s">
        <v>47</v>
      </c>
      <c r="P15" s="8"/>
      <c r="Q15" s="33">
        <f t="shared" si="0"/>
        <v>1.9025875190258752</v>
      </c>
      <c r="R15" s="34">
        <f t="shared" si="1"/>
        <v>43.61258751902588</v>
      </c>
    </row>
    <row r="16" spans="1:22">
      <c r="A16" s="8">
        <v>14</v>
      </c>
      <c r="B16" s="8">
        <v>0</v>
      </c>
      <c r="C16" s="8" t="s">
        <v>29</v>
      </c>
      <c r="D16" s="8">
        <v>1642</v>
      </c>
      <c r="E16" s="8">
        <v>73</v>
      </c>
      <c r="F16" s="8">
        <v>0</v>
      </c>
      <c r="G16" s="3">
        <v>73</v>
      </c>
      <c r="H16" s="10">
        <v>1642000</v>
      </c>
      <c r="I16" s="34">
        <v>4.4457978075517664E-2</v>
      </c>
      <c r="J16" s="10">
        <v>25</v>
      </c>
      <c r="K16" s="10">
        <v>0</v>
      </c>
      <c r="L16" s="10">
        <v>8.900000000000001E-2</v>
      </c>
      <c r="M16" s="7">
        <v>0.4</v>
      </c>
      <c r="N16" s="25">
        <v>255792</v>
      </c>
      <c r="O16" s="8" t="s">
        <v>47</v>
      </c>
      <c r="P16" s="8"/>
      <c r="Q16" s="33">
        <f t="shared" si="0"/>
        <v>20.833333333333332</v>
      </c>
      <c r="R16" s="34">
        <f t="shared" si="1"/>
        <v>20.833333333333332</v>
      </c>
    </row>
    <row r="17" spans="1:19">
      <c r="A17" s="8">
        <v>15</v>
      </c>
      <c r="B17" s="8">
        <v>40960.94</v>
      </c>
      <c r="C17" s="8" t="s">
        <v>1</v>
      </c>
      <c r="D17" s="8">
        <v>440</v>
      </c>
      <c r="E17" s="8">
        <v>10.9</v>
      </c>
      <c r="F17" s="8">
        <v>66.8</v>
      </c>
      <c r="G17" s="22">
        <v>73.021461187214612</v>
      </c>
      <c r="H17" s="10">
        <v>440000</v>
      </c>
      <c r="I17" s="34">
        <v>2.4772727272727273E-2</v>
      </c>
      <c r="J17" s="10">
        <v>25</v>
      </c>
      <c r="K17" s="10">
        <v>0.52060000000000006</v>
      </c>
      <c r="L17" s="10">
        <v>8.8999999999999996E-2</v>
      </c>
      <c r="M17" s="7">
        <v>0.2</v>
      </c>
      <c r="N17" s="25">
        <v>127933.6</v>
      </c>
      <c r="O17" s="8" t="s">
        <v>47</v>
      </c>
      <c r="P17" s="8"/>
      <c r="Q17" s="33">
        <f t="shared" si="0"/>
        <v>6.2214611872146124</v>
      </c>
      <c r="R17" s="34">
        <f t="shared" si="1"/>
        <v>73.021461187214612</v>
      </c>
      <c r="S17" s="3"/>
    </row>
    <row r="18" spans="1:19">
      <c r="A18" s="8">
        <v>16</v>
      </c>
      <c r="B18" s="8">
        <v>15010.6</v>
      </c>
      <c r="C18" s="8" t="s">
        <v>30</v>
      </c>
      <c r="D18" s="8">
        <v>1017</v>
      </c>
      <c r="E18" s="8">
        <v>25.5</v>
      </c>
      <c r="F18" s="8">
        <v>0</v>
      </c>
      <c r="G18" s="3">
        <v>6.47</v>
      </c>
      <c r="H18" s="10">
        <v>1017000</v>
      </c>
      <c r="I18" s="34">
        <v>2.5073746312684365E-2</v>
      </c>
      <c r="J18" s="10">
        <v>25</v>
      </c>
      <c r="K18" s="10">
        <v>0</v>
      </c>
      <c r="L18" s="10">
        <v>7.9000000000000001E-2</v>
      </c>
      <c r="M18" s="7">
        <v>0.4</v>
      </c>
      <c r="N18" s="25">
        <v>22670.880000000001</v>
      </c>
      <c r="O18" s="8" t="s">
        <v>47</v>
      </c>
      <c r="P18" s="8"/>
      <c r="Q18" s="33">
        <f t="shared" si="0"/>
        <v>7.2773972602739718</v>
      </c>
      <c r="R18" s="34">
        <f t="shared" si="1"/>
        <v>7.2773972602739718</v>
      </c>
      <c r="S18" s="3"/>
    </row>
    <row r="19" spans="1:19">
      <c r="A19" s="8">
        <v>17</v>
      </c>
      <c r="B19" s="8">
        <v>5822.28</v>
      </c>
      <c r="C19" s="8" t="s">
        <v>31</v>
      </c>
      <c r="D19" s="8">
        <v>440</v>
      </c>
      <c r="E19" s="8">
        <v>10.9</v>
      </c>
      <c r="F19" s="8">
        <v>66.8</v>
      </c>
      <c r="G19" s="22">
        <v>47.735675997617626</v>
      </c>
      <c r="H19" s="10">
        <v>440000</v>
      </c>
      <c r="I19" s="34">
        <v>2.4772727272727273E-2</v>
      </c>
      <c r="J19" s="10">
        <v>25</v>
      </c>
      <c r="K19" s="10">
        <v>0.31880000000000003</v>
      </c>
      <c r="L19" s="10">
        <v>8.8999999999999996E-2</v>
      </c>
      <c r="M19" s="7">
        <v>0.92</v>
      </c>
      <c r="N19" s="25">
        <v>384711.36</v>
      </c>
      <c r="O19" s="8" t="s">
        <v>47</v>
      </c>
      <c r="P19" s="8"/>
      <c r="Q19" s="33">
        <f t="shared" si="0"/>
        <v>1.352491562437959</v>
      </c>
      <c r="R19" s="34">
        <f t="shared" si="1"/>
        <v>68.152491562437959</v>
      </c>
      <c r="S19" s="3"/>
    </row>
    <row r="20" spans="1:19">
      <c r="A20" s="8">
        <v>18</v>
      </c>
      <c r="B20" s="8">
        <v>0</v>
      </c>
      <c r="C20" s="8" t="s">
        <v>32</v>
      </c>
      <c r="D20" s="8">
        <v>3500</v>
      </c>
      <c r="E20" s="8">
        <v>24.9</v>
      </c>
      <c r="F20" s="8">
        <v>69</v>
      </c>
      <c r="G20" s="3">
        <v>95</v>
      </c>
      <c r="H20" s="10">
        <v>3500000</v>
      </c>
      <c r="I20" s="34">
        <v>7.1142857142857136E-3</v>
      </c>
      <c r="J20" s="10">
        <v>15</v>
      </c>
      <c r="K20" s="10">
        <v>0.31880000000000003</v>
      </c>
      <c r="L20" s="10">
        <v>7.4999999999999997E-2</v>
      </c>
      <c r="M20" s="7">
        <v>0.83</v>
      </c>
      <c r="N20" s="25">
        <v>690726</v>
      </c>
      <c r="O20" s="8" t="s">
        <v>47</v>
      </c>
      <c r="P20" s="8"/>
      <c r="Q20" s="33">
        <f t="shared" si="0"/>
        <v>3.4246575342465757</v>
      </c>
      <c r="R20" s="34">
        <f t="shared" si="1"/>
        <v>72.424657534246577</v>
      </c>
      <c r="S20" s="3"/>
    </row>
    <row r="21" spans="1:19">
      <c r="A21" s="8">
        <v>19</v>
      </c>
      <c r="B21" s="8">
        <v>0</v>
      </c>
      <c r="C21" s="8" t="s">
        <v>33</v>
      </c>
      <c r="D21" s="8">
        <v>910</v>
      </c>
      <c r="E21" s="8">
        <v>24.9</v>
      </c>
      <c r="F21" s="8">
        <v>69</v>
      </c>
      <c r="G21" s="22">
        <v>72.424657534246577</v>
      </c>
      <c r="H21" s="10">
        <v>910000</v>
      </c>
      <c r="I21" s="34">
        <v>2.736263736263736E-2</v>
      </c>
      <c r="J21" s="10">
        <v>15</v>
      </c>
      <c r="K21" s="10">
        <v>0.31880000000000003</v>
      </c>
      <c r="L21" s="10">
        <v>7.4999999999999997E-2</v>
      </c>
      <c r="M21" s="7">
        <v>0.83</v>
      </c>
      <c r="N21" s="25">
        <v>526585.19999999995</v>
      </c>
      <c r="O21" s="8" t="s">
        <v>47</v>
      </c>
      <c r="P21" s="8"/>
      <c r="Q21" s="33">
        <f t="shared" si="0"/>
        <v>3.4246575342465757</v>
      </c>
      <c r="R21" s="34">
        <f t="shared" si="1"/>
        <v>72.424657534246577</v>
      </c>
      <c r="S21" s="3"/>
    </row>
    <row r="22" spans="1:19">
      <c r="A22" s="8">
        <v>20</v>
      </c>
      <c r="B22" s="8">
        <v>0</v>
      </c>
      <c r="C22" s="8" t="s">
        <v>34</v>
      </c>
      <c r="D22" s="8">
        <v>465</v>
      </c>
      <c r="E22" s="8">
        <v>48.5</v>
      </c>
      <c r="F22" s="8">
        <v>0</v>
      </c>
      <c r="G22" s="3">
        <v>2.95</v>
      </c>
      <c r="H22" s="10">
        <v>465000</v>
      </c>
      <c r="I22" s="34">
        <v>0.1043010752688172</v>
      </c>
      <c r="J22" s="10">
        <v>25</v>
      </c>
      <c r="K22" s="10">
        <v>0</v>
      </c>
      <c r="L22" s="10">
        <v>7.4999999999999997E-2</v>
      </c>
      <c r="M22" s="7">
        <v>0.5</v>
      </c>
      <c r="N22" s="25">
        <v>12921</v>
      </c>
      <c r="O22" s="8" t="s">
        <v>47</v>
      </c>
      <c r="P22" s="8"/>
      <c r="Q22" s="33">
        <f>E22/(8760*M22)*1000</f>
        <v>11.073059360730594</v>
      </c>
      <c r="R22" s="34">
        <f t="shared" si="1"/>
        <v>11.073059360730594</v>
      </c>
      <c r="S22" s="3"/>
    </row>
    <row r="25" spans="1:19">
      <c r="A25" s="9" t="s">
        <v>37</v>
      </c>
      <c r="B25" s="9" t="s">
        <v>35</v>
      </c>
      <c r="C25" s="9" t="s">
        <v>36</v>
      </c>
      <c r="D25" s="25" t="s">
        <v>83</v>
      </c>
      <c r="E25" s="25" t="s">
        <v>52</v>
      </c>
      <c r="F25" s="7" t="s">
        <v>12</v>
      </c>
      <c r="G25" s="7" t="s">
        <v>13</v>
      </c>
      <c r="H25" s="9" t="s">
        <v>14</v>
      </c>
      <c r="I25" s="7" t="s">
        <v>15</v>
      </c>
      <c r="J25" s="7" t="s">
        <v>16</v>
      </c>
      <c r="K25" s="7" t="s">
        <v>38</v>
      </c>
      <c r="L25" s="7" t="s">
        <v>39</v>
      </c>
      <c r="M25" s="6" t="s">
        <v>45</v>
      </c>
      <c r="N25" s="8" t="s">
        <v>46</v>
      </c>
      <c r="O25" s="7" t="s">
        <v>49</v>
      </c>
    </row>
    <row r="26" spans="1:19">
      <c r="A26" s="7">
        <v>0</v>
      </c>
      <c r="B26" s="6">
        <v>100000</v>
      </c>
      <c r="C26" s="7" t="s">
        <v>42</v>
      </c>
      <c r="D26" s="7">
        <f>G26/1000</f>
        <v>830</v>
      </c>
      <c r="E26" s="7">
        <v>15.5</v>
      </c>
      <c r="F26" s="10">
        <v>2.95</v>
      </c>
      <c r="G26" s="10">
        <v>830000</v>
      </c>
      <c r="H26" s="33">
        <v>1.8674698795180723E-2</v>
      </c>
      <c r="I26" s="6">
        <v>25</v>
      </c>
      <c r="J26" s="7">
        <v>0</v>
      </c>
      <c r="K26" s="6">
        <v>0.105</v>
      </c>
      <c r="L26" s="6">
        <v>0.6</v>
      </c>
      <c r="M26" s="6">
        <v>0.6</v>
      </c>
      <c r="N26" s="10">
        <v>15505.2</v>
      </c>
      <c r="O26" s="8" t="s">
        <v>47</v>
      </c>
    </row>
    <row r="27" spans="1:19">
      <c r="A27" s="7">
        <v>1</v>
      </c>
      <c r="B27" s="6">
        <v>100000</v>
      </c>
      <c r="C27" s="7" t="s">
        <v>43</v>
      </c>
      <c r="D27" s="7">
        <f t="shared" ref="D27:D30" si="2">G27/1000</f>
        <v>440</v>
      </c>
      <c r="E27" s="7">
        <v>10.9</v>
      </c>
      <c r="F27" s="10">
        <v>6.22</v>
      </c>
      <c r="G27" s="10">
        <v>440000</v>
      </c>
      <c r="H27" s="33">
        <v>2.4772727272727273E-2</v>
      </c>
      <c r="I27" s="6">
        <v>25</v>
      </c>
      <c r="J27" s="7">
        <v>0</v>
      </c>
      <c r="K27" s="6">
        <v>0.105</v>
      </c>
      <c r="L27" s="6">
        <v>0.2</v>
      </c>
      <c r="M27" s="6">
        <v>0.4</v>
      </c>
      <c r="N27" s="10">
        <v>10897.44</v>
      </c>
      <c r="O27" s="8" t="s">
        <v>47</v>
      </c>
    </row>
    <row r="28" spans="1:19">
      <c r="A28" s="7">
        <v>2</v>
      </c>
      <c r="B28" s="6">
        <v>100000</v>
      </c>
      <c r="C28" s="7" t="s">
        <v>44</v>
      </c>
      <c r="D28" s="7">
        <f t="shared" si="2"/>
        <v>465</v>
      </c>
      <c r="E28" s="6">
        <v>48.5</v>
      </c>
      <c r="F28" s="30">
        <v>11.073059360730594</v>
      </c>
      <c r="G28" s="10">
        <v>465000</v>
      </c>
      <c r="H28" s="33">
        <v>0.1043010752688172</v>
      </c>
      <c r="I28" s="6">
        <v>30</v>
      </c>
      <c r="J28" s="6">
        <v>0</v>
      </c>
      <c r="K28" s="6">
        <v>0.1</v>
      </c>
      <c r="L28" s="7">
        <v>0.5</v>
      </c>
      <c r="M28" s="6">
        <v>0.55000000000000004</v>
      </c>
      <c r="N28" s="10">
        <v>48500</v>
      </c>
      <c r="O28" s="8" t="s">
        <v>47</v>
      </c>
    </row>
    <row r="29" spans="1:19">
      <c r="A29" s="7">
        <v>3</v>
      </c>
      <c r="B29" s="6">
        <v>100000</v>
      </c>
      <c r="C29" s="6" t="s">
        <v>41</v>
      </c>
      <c r="D29" s="7">
        <f t="shared" si="2"/>
        <v>465</v>
      </c>
      <c r="E29" s="6">
        <v>48.5</v>
      </c>
      <c r="F29" s="30">
        <v>11.073059360730594</v>
      </c>
      <c r="G29" s="10">
        <v>465000</v>
      </c>
      <c r="H29" s="33">
        <v>0.1043010752688172</v>
      </c>
      <c r="I29" s="6">
        <v>30</v>
      </c>
      <c r="J29" s="6">
        <v>0</v>
      </c>
      <c r="K29" s="6">
        <v>0.1</v>
      </c>
      <c r="L29" s="6">
        <v>0.5</v>
      </c>
      <c r="M29" s="6">
        <v>0.74</v>
      </c>
      <c r="N29" s="10">
        <v>48500.000000000007</v>
      </c>
      <c r="O29" s="8" t="s">
        <v>48</v>
      </c>
    </row>
    <row r="30" spans="1:19">
      <c r="A30" s="7">
        <v>4</v>
      </c>
      <c r="B30" s="6">
        <v>100000</v>
      </c>
      <c r="C30" s="6" t="s">
        <v>40</v>
      </c>
      <c r="D30" s="7">
        <f t="shared" si="2"/>
        <v>384</v>
      </c>
      <c r="E30" s="6">
        <v>24.4</v>
      </c>
      <c r="F30" s="10">
        <v>36.380000000000003</v>
      </c>
      <c r="G30" s="10">
        <v>384000</v>
      </c>
      <c r="H30" s="33">
        <v>6.3541666666666663E-2</v>
      </c>
      <c r="I30" s="6">
        <v>40</v>
      </c>
      <c r="J30" s="6">
        <v>2.1999999999999999E-2</v>
      </c>
      <c r="K30" s="6">
        <v>0.1</v>
      </c>
      <c r="L30" s="6">
        <v>0.85</v>
      </c>
      <c r="M30" s="6">
        <v>0.75</v>
      </c>
      <c r="N30" s="10">
        <v>270885.48000000004</v>
      </c>
      <c r="O30" s="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E03B-6182-4825-B35D-B5924740A37E}">
  <dimension ref="A1:M45"/>
  <sheetViews>
    <sheetView topLeftCell="A3" workbookViewId="0">
      <selection activeCell="C5" sqref="C5"/>
    </sheetView>
  </sheetViews>
  <sheetFormatPr defaultRowHeight="14.25"/>
  <cols>
    <col min="1" max="1" width="17.06640625" customWidth="1"/>
    <col min="2" max="2" width="12.73046875" customWidth="1"/>
    <col min="3" max="3" width="11.6640625" customWidth="1"/>
    <col min="4" max="4" width="9.9296875" customWidth="1"/>
    <col min="5" max="5" width="12.33203125" customWidth="1"/>
    <col min="6" max="6" width="17.796875" customWidth="1"/>
    <col min="7" max="7" width="19.53125" customWidth="1"/>
  </cols>
  <sheetData>
    <row r="1" spans="1:9" ht="38.65" thickBot="1">
      <c r="A1" s="13" t="s">
        <v>50</v>
      </c>
      <c r="B1" s="13" t="s">
        <v>51</v>
      </c>
      <c r="C1" s="13" t="s">
        <v>52</v>
      </c>
      <c r="D1" s="13" t="s">
        <v>2</v>
      </c>
      <c r="E1" s="13" t="s">
        <v>3</v>
      </c>
      <c r="F1" s="13" t="s">
        <v>53</v>
      </c>
      <c r="G1" s="13" t="s">
        <v>4</v>
      </c>
      <c r="I1" s="27" t="s">
        <v>82</v>
      </c>
    </row>
    <row r="2" spans="1:9" ht="14.65" thickBot="1">
      <c r="A2" s="14" t="s">
        <v>0</v>
      </c>
      <c r="B2" s="14">
        <v>5191</v>
      </c>
      <c r="C2" s="14">
        <v>83.4</v>
      </c>
      <c r="D2" s="15">
        <v>9.5000000000000001E-2</v>
      </c>
      <c r="E2" s="14">
        <v>40</v>
      </c>
      <c r="F2" s="14">
        <v>5</v>
      </c>
      <c r="G2" s="14">
        <v>0</v>
      </c>
      <c r="I2" s="28">
        <f>C2/B2</f>
        <v>1.6066268541706803E-2</v>
      </c>
    </row>
    <row r="3" spans="1:9" ht="14.65" thickBot="1">
      <c r="A3" s="14" t="s">
        <v>54</v>
      </c>
      <c r="B3" s="14">
        <v>617</v>
      </c>
      <c r="C3" s="14">
        <v>15.6</v>
      </c>
      <c r="D3" s="15">
        <v>8.8999999999999996E-2</v>
      </c>
      <c r="E3" s="14">
        <v>25</v>
      </c>
      <c r="F3" s="14">
        <v>45.8</v>
      </c>
      <c r="G3" s="14">
        <v>339</v>
      </c>
      <c r="I3" s="28">
        <f t="shared" ref="I3:I15" si="0">C3/B3</f>
        <v>2.5283630470016208E-2</v>
      </c>
    </row>
    <row r="4" spans="1:9" ht="14.65" thickBot="1">
      <c r="A4" s="14" t="s">
        <v>1</v>
      </c>
      <c r="B4" s="14">
        <v>440</v>
      </c>
      <c r="C4" s="14">
        <v>10.9</v>
      </c>
      <c r="D4" s="15">
        <v>8.8999999999999996E-2</v>
      </c>
      <c r="E4" s="14">
        <v>25</v>
      </c>
      <c r="F4" s="14">
        <v>66.8</v>
      </c>
      <c r="G4" s="14">
        <v>548</v>
      </c>
      <c r="I4" s="28">
        <f t="shared" si="0"/>
        <v>2.4772727272727273E-2</v>
      </c>
    </row>
    <row r="5" spans="1:9" ht="14.65" thickBot="1">
      <c r="A5" s="14" t="s">
        <v>55</v>
      </c>
      <c r="B5" s="14">
        <v>2361</v>
      </c>
      <c r="C5" s="14">
        <v>41.6</v>
      </c>
      <c r="D5" s="15">
        <v>0.13800000000000001</v>
      </c>
      <c r="E5" s="14">
        <v>25</v>
      </c>
      <c r="F5" s="14">
        <v>33.1</v>
      </c>
      <c r="G5" s="14">
        <v>31.9</v>
      </c>
      <c r="I5" s="28">
        <f t="shared" si="0"/>
        <v>1.7619652689538332E-2</v>
      </c>
    </row>
    <row r="6" spans="1:9" ht="14.65" thickBot="1">
      <c r="A6" s="14" t="s">
        <v>56</v>
      </c>
      <c r="B6" s="14">
        <v>3403</v>
      </c>
      <c r="C6" s="14">
        <v>82</v>
      </c>
      <c r="D6" s="15">
        <v>0.13500000000000001</v>
      </c>
      <c r="E6" s="14">
        <v>25</v>
      </c>
      <c r="F6" s="14">
        <v>35.4</v>
      </c>
      <c r="G6" s="14">
        <v>80.5</v>
      </c>
      <c r="I6" s="28">
        <f t="shared" si="0"/>
        <v>2.4096385542168676E-2</v>
      </c>
    </row>
    <row r="7" spans="1:9" ht="14.65" thickBot="1">
      <c r="A7" s="14" t="s">
        <v>57</v>
      </c>
      <c r="B7" s="14">
        <v>830</v>
      </c>
      <c r="C7" s="14">
        <v>15.5</v>
      </c>
      <c r="D7" s="15">
        <v>0.105</v>
      </c>
      <c r="E7" s="14">
        <v>25</v>
      </c>
      <c r="F7" s="14">
        <v>0</v>
      </c>
      <c r="G7" s="14">
        <v>0</v>
      </c>
      <c r="I7" s="28">
        <f t="shared" si="0"/>
        <v>1.8674698795180723E-2</v>
      </c>
    </row>
    <row r="8" spans="1:9" ht="14.65" thickBot="1">
      <c r="A8" s="14" t="s">
        <v>58</v>
      </c>
      <c r="B8" s="14">
        <v>440</v>
      </c>
      <c r="C8" s="14">
        <v>10.9</v>
      </c>
      <c r="D8" s="15">
        <v>0.105</v>
      </c>
      <c r="E8" s="14">
        <v>25</v>
      </c>
      <c r="F8" s="14">
        <v>0</v>
      </c>
      <c r="G8" s="14">
        <v>0</v>
      </c>
      <c r="I8" s="28">
        <f t="shared" si="0"/>
        <v>2.4772727272727273E-2</v>
      </c>
    </row>
    <row r="9" spans="1:9" ht="14.65" thickBot="1">
      <c r="A9" s="14" t="s">
        <v>25</v>
      </c>
      <c r="B9" s="17">
        <v>3446</v>
      </c>
      <c r="C9" s="14">
        <v>119.8</v>
      </c>
      <c r="D9" s="15">
        <v>0.112</v>
      </c>
      <c r="E9" s="14">
        <v>25</v>
      </c>
      <c r="F9" s="14">
        <v>14</v>
      </c>
      <c r="G9" s="14">
        <v>89.2</v>
      </c>
      <c r="I9" s="28">
        <f t="shared" si="0"/>
        <v>3.4764944863609981E-2</v>
      </c>
    </row>
    <row r="10" spans="1:9" ht="14.65" thickBot="1">
      <c r="A10" s="14" t="s">
        <v>26</v>
      </c>
      <c r="B10" s="17">
        <v>4800</v>
      </c>
      <c r="C10" s="14">
        <v>140</v>
      </c>
      <c r="D10" s="15">
        <v>8.5000000000000006E-2</v>
      </c>
      <c r="E10" s="14">
        <v>30</v>
      </c>
      <c r="F10" s="14">
        <v>15</v>
      </c>
      <c r="G10" s="14">
        <v>35</v>
      </c>
      <c r="I10" s="28">
        <f t="shared" si="0"/>
        <v>2.9166666666666667E-2</v>
      </c>
    </row>
    <row r="11" spans="1:9" ht="14.65" thickBot="1">
      <c r="A11" s="14" t="s">
        <v>65</v>
      </c>
      <c r="B11" s="14">
        <v>910</v>
      </c>
      <c r="C11" s="14">
        <v>24.9</v>
      </c>
      <c r="D11" s="15">
        <v>8.8999999999999996E-2</v>
      </c>
      <c r="E11" s="14">
        <v>15</v>
      </c>
      <c r="F11" s="14">
        <v>69</v>
      </c>
      <c r="G11" s="14">
        <v>183.9</v>
      </c>
      <c r="I11" s="28">
        <f t="shared" si="0"/>
        <v>2.736263736263736E-2</v>
      </c>
    </row>
    <row r="12" spans="1:9" ht="14.65" thickBot="1">
      <c r="A12" s="14" t="s">
        <v>64</v>
      </c>
      <c r="B12" s="17">
        <v>3475</v>
      </c>
      <c r="C12" s="14">
        <v>48.3</v>
      </c>
      <c r="D12" s="15">
        <v>7.1999999999999995E-2</v>
      </c>
      <c r="E12" s="14">
        <v>80</v>
      </c>
      <c r="F12" s="14">
        <v>0</v>
      </c>
      <c r="G12" s="14">
        <v>0</v>
      </c>
      <c r="I12" s="28">
        <f t="shared" si="0"/>
        <v>1.3899280575539567E-2</v>
      </c>
    </row>
    <row r="13" spans="1:9" ht="14.65" thickBot="1">
      <c r="A13" s="14" t="s">
        <v>59</v>
      </c>
      <c r="B13" s="14">
        <v>1017</v>
      </c>
      <c r="C13" s="14">
        <v>25.5</v>
      </c>
      <c r="D13" s="15">
        <v>7.9000000000000001E-2</v>
      </c>
      <c r="E13" s="14">
        <v>25</v>
      </c>
      <c r="F13" s="14">
        <v>0</v>
      </c>
      <c r="G13" s="14">
        <v>0</v>
      </c>
      <c r="I13" s="28">
        <f t="shared" si="0"/>
        <v>2.5073746312684365E-2</v>
      </c>
    </row>
    <row r="14" spans="1:9" ht="14.65" thickBot="1">
      <c r="A14" s="14" t="s">
        <v>60</v>
      </c>
      <c r="B14" s="14">
        <v>1578</v>
      </c>
      <c r="C14" s="14">
        <v>42.1</v>
      </c>
      <c r="D14" s="15">
        <v>8.8999999999999996E-2</v>
      </c>
      <c r="E14" s="14">
        <v>30</v>
      </c>
      <c r="F14" s="14">
        <v>0</v>
      </c>
      <c r="G14" s="14">
        <v>0</v>
      </c>
      <c r="I14" s="28">
        <f t="shared" si="0"/>
        <v>2.6679340937896073E-2</v>
      </c>
    </row>
    <row r="15" spans="1:9" ht="14.65" thickBot="1">
      <c r="A15" s="14" t="s">
        <v>61</v>
      </c>
      <c r="B15" s="14">
        <v>457</v>
      </c>
      <c r="C15" s="14">
        <v>5.6</v>
      </c>
      <c r="D15" s="15">
        <v>6.9000000000000006E-2</v>
      </c>
      <c r="E15" s="14">
        <v>35</v>
      </c>
      <c r="F15" s="14">
        <v>0</v>
      </c>
      <c r="G15" s="14">
        <v>0</v>
      </c>
      <c r="I15" s="28">
        <f t="shared" si="0"/>
        <v>1.2253829321663018E-2</v>
      </c>
    </row>
    <row r="17" spans="1:13">
      <c r="A17" s="16" t="s">
        <v>62</v>
      </c>
    </row>
    <row r="18" spans="1:13">
      <c r="A18" s="16" t="s">
        <v>63</v>
      </c>
    </row>
    <row r="20" spans="1:13" ht="26.25">
      <c r="A20" s="18" t="s">
        <v>66</v>
      </c>
      <c r="B20" s="18" t="s">
        <v>67</v>
      </c>
      <c r="C20" s="18" t="s">
        <v>68</v>
      </c>
      <c r="D20" s="18" t="s">
        <v>69</v>
      </c>
      <c r="E20" s="18" t="s">
        <v>70</v>
      </c>
      <c r="F20" s="18" t="s">
        <v>71</v>
      </c>
      <c r="G20" s="18" t="s">
        <v>72</v>
      </c>
      <c r="H20" s="18" t="s">
        <v>73</v>
      </c>
      <c r="I20" s="18" t="s">
        <v>39</v>
      </c>
    </row>
    <row r="21" spans="1:13">
      <c r="A21" s="19" t="s">
        <v>75</v>
      </c>
      <c r="B21" s="19">
        <v>5.71</v>
      </c>
      <c r="C21" s="19">
        <v>40</v>
      </c>
      <c r="D21" s="19">
        <v>45.71</v>
      </c>
      <c r="E21" s="20">
        <v>395000</v>
      </c>
      <c r="F21" s="19">
        <v>20</v>
      </c>
      <c r="G21" s="19">
        <v>0</v>
      </c>
      <c r="H21" s="19">
        <v>7.0000000000000007E-2</v>
      </c>
      <c r="I21" s="19">
        <v>0.3</v>
      </c>
    </row>
    <row r="22" spans="1:13">
      <c r="A22" s="19" t="s">
        <v>74</v>
      </c>
      <c r="B22" s="19">
        <v>15.2</v>
      </c>
      <c r="C22" s="19">
        <v>40</v>
      </c>
      <c r="D22" s="19">
        <v>55.2</v>
      </c>
      <c r="E22" s="20">
        <v>760000</v>
      </c>
      <c r="F22" s="19">
        <v>30</v>
      </c>
      <c r="G22" s="19">
        <v>0</v>
      </c>
      <c r="H22" s="19">
        <v>7.0000000000000007E-2</v>
      </c>
      <c r="I22" s="19">
        <v>0.3</v>
      </c>
    </row>
    <row r="24" spans="1:13" ht="71.25">
      <c r="A24" s="25" t="s">
        <v>37</v>
      </c>
      <c r="B24" s="25" t="s">
        <v>35</v>
      </c>
      <c r="C24" s="25" t="s">
        <v>36</v>
      </c>
      <c r="D24" s="25" t="s">
        <v>12</v>
      </c>
      <c r="E24" s="21" t="s">
        <v>76</v>
      </c>
      <c r="F24" s="25" t="s">
        <v>13</v>
      </c>
      <c r="G24" s="25" t="s">
        <v>14</v>
      </c>
      <c r="H24" s="25" t="s">
        <v>15</v>
      </c>
      <c r="I24" s="25" t="s">
        <v>16</v>
      </c>
      <c r="J24" s="25" t="s">
        <v>38</v>
      </c>
      <c r="K24" s="25" t="s">
        <v>39</v>
      </c>
      <c r="L24" s="25" t="s">
        <v>46</v>
      </c>
      <c r="M24" s="25" t="s">
        <v>49</v>
      </c>
    </row>
    <row r="25" spans="1:13">
      <c r="A25" s="8">
        <v>0</v>
      </c>
      <c r="B25" s="8">
        <v>0</v>
      </c>
      <c r="C25" s="8" t="s">
        <v>17</v>
      </c>
      <c r="D25" s="3">
        <v>9.5129375951293795</v>
      </c>
      <c r="E25" s="21">
        <v>42</v>
      </c>
      <c r="F25" s="10">
        <v>3000000</v>
      </c>
      <c r="G25" s="11">
        <v>2.5000000000000001E-2</v>
      </c>
      <c r="H25" s="10">
        <v>25</v>
      </c>
      <c r="I25" s="10">
        <v>0.9</v>
      </c>
      <c r="J25" s="10">
        <v>0.13500000000000001</v>
      </c>
      <c r="K25" s="7">
        <v>0.9</v>
      </c>
      <c r="L25" s="10">
        <v>75000</v>
      </c>
      <c r="M25" s="8" t="s">
        <v>47</v>
      </c>
    </row>
    <row r="26" spans="1:13">
      <c r="A26" s="8">
        <v>1</v>
      </c>
      <c r="B26" s="8">
        <v>0</v>
      </c>
      <c r="C26" s="8" t="s">
        <v>18</v>
      </c>
      <c r="D26" s="3">
        <v>2.0597577923367081</v>
      </c>
      <c r="E26" s="21">
        <v>47</v>
      </c>
      <c r="F26" s="10">
        <v>581000</v>
      </c>
      <c r="G26" s="11">
        <v>2.8571428571428571E-2</v>
      </c>
      <c r="H26" s="10">
        <v>25</v>
      </c>
      <c r="I26" s="10">
        <v>0.31880000000000003</v>
      </c>
      <c r="J26" s="10">
        <v>7.4999999999999997E-2</v>
      </c>
      <c r="K26" s="7">
        <v>0.92</v>
      </c>
      <c r="L26" s="10">
        <v>16600</v>
      </c>
      <c r="M26" s="8" t="s">
        <v>47</v>
      </c>
    </row>
    <row r="27" spans="1:13">
      <c r="A27" s="8">
        <v>2</v>
      </c>
      <c r="B27" s="8">
        <v>30.74</v>
      </c>
      <c r="C27" s="8" t="s">
        <v>19</v>
      </c>
      <c r="D27" s="3">
        <v>10.400811770674784</v>
      </c>
      <c r="E27" s="23">
        <v>45.800811770674784</v>
      </c>
      <c r="F27" s="10">
        <v>3403000</v>
      </c>
      <c r="G27" s="11">
        <v>2.4096385542168676E-2</v>
      </c>
      <c r="H27" s="10">
        <v>25</v>
      </c>
      <c r="I27" s="10">
        <v>8.0500000000000002E-2</v>
      </c>
      <c r="J27" s="10">
        <v>0.13500000000000001</v>
      </c>
      <c r="K27" s="7">
        <v>0.9</v>
      </c>
      <c r="L27" s="10">
        <v>82000</v>
      </c>
      <c r="M27" s="8" t="s">
        <v>47</v>
      </c>
    </row>
    <row r="28" spans="1:13">
      <c r="A28" s="8">
        <v>3</v>
      </c>
      <c r="B28" s="8">
        <v>29948.41</v>
      </c>
      <c r="C28" s="8" t="s">
        <v>20</v>
      </c>
      <c r="D28" s="3">
        <v>5.1618026603136782</v>
      </c>
      <c r="E28" s="21">
        <v>38.26</v>
      </c>
      <c r="F28" s="10">
        <v>2361000</v>
      </c>
      <c r="G28" s="11">
        <v>1.7619652689538332E-2</v>
      </c>
      <c r="H28" s="10">
        <v>25</v>
      </c>
      <c r="I28" s="10">
        <v>3.1899999999999998E-2</v>
      </c>
      <c r="J28" s="10">
        <v>0.13800000000000001</v>
      </c>
      <c r="K28" s="7">
        <v>0.92</v>
      </c>
      <c r="L28" s="10">
        <v>41600</v>
      </c>
      <c r="M28" s="8" t="s">
        <v>47</v>
      </c>
    </row>
    <row r="29" spans="1:13">
      <c r="A29" s="8">
        <v>4</v>
      </c>
      <c r="B29" s="8">
        <v>217143.11</v>
      </c>
      <c r="C29" s="8" t="s">
        <v>0</v>
      </c>
      <c r="D29" s="3">
        <v>10.578386605783866</v>
      </c>
      <c r="E29" s="21">
        <v>15.58</v>
      </c>
      <c r="F29" s="10">
        <v>5191000</v>
      </c>
      <c r="G29" s="11">
        <v>1.6066268541706799E-2</v>
      </c>
      <c r="H29" s="10">
        <v>40</v>
      </c>
      <c r="I29" s="10">
        <v>0</v>
      </c>
      <c r="J29" s="10">
        <v>9.5000000000000001E-2</v>
      </c>
      <c r="K29" s="7">
        <v>0.9</v>
      </c>
      <c r="L29" s="10">
        <v>83400</v>
      </c>
      <c r="M29" s="8" t="s">
        <v>47</v>
      </c>
    </row>
    <row r="30" spans="1:13">
      <c r="A30" s="8">
        <v>5</v>
      </c>
      <c r="B30" s="8">
        <v>0</v>
      </c>
      <c r="C30" s="8" t="s">
        <v>21</v>
      </c>
      <c r="D30" s="3">
        <v>4.6803652968036529</v>
      </c>
      <c r="E30" s="21">
        <v>127</v>
      </c>
      <c r="F30" s="10">
        <v>312000</v>
      </c>
      <c r="G30" s="11">
        <v>2.6282051282051282E-2</v>
      </c>
      <c r="H30" s="10">
        <v>30</v>
      </c>
      <c r="I30" s="10">
        <v>0.52060000000000006</v>
      </c>
      <c r="J30" s="10">
        <v>7.4999999999999997E-2</v>
      </c>
      <c r="K30" s="7">
        <v>0.2</v>
      </c>
      <c r="L30" s="10">
        <v>8200</v>
      </c>
      <c r="M30" s="8" t="s">
        <v>47</v>
      </c>
    </row>
    <row r="31" spans="1:13">
      <c r="A31" s="8">
        <v>6</v>
      </c>
      <c r="B31" s="8">
        <v>475089.05</v>
      </c>
      <c r="C31" s="8" t="s">
        <v>22</v>
      </c>
      <c r="D31" s="3">
        <v>7.0547945205479454</v>
      </c>
      <c r="E31" s="21">
        <v>7.88</v>
      </c>
      <c r="F31" s="10">
        <v>1642000</v>
      </c>
      <c r="G31" s="11">
        <v>1.8818514007308162E-2</v>
      </c>
      <c r="H31" s="10">
        <v>23</v>
      </c>
      <c r="I31" s="10">
        <v>0</v>
      </c>
      <c r="J31" s="10">
        <v>8.900000000000001E-2</v>
      </c>
      <c r="K31" s="7">
        <v>0.5</v>
      </c>
      <c r="L31" s="10">
        <v>30900</v>
      </c>
      <c r="M31" s="8" t="s">
        <v>47</v>
      </c>
    </row>
    <row r="32" spans="1:13">
      <c r="A32" s="8">
        <v>7</v>
      </c>
      <c r="B32" s="8">
        <v>991411.99</v>
      </c>
      <c r="C32" s="8" t="s">
        <v>23</v>
      </c>
      <c r="D32" s="3">
        <v>4.7184170471841709</v>
      </c>
      <c r="E32" s="21">
        <v>5.81</v>
      </c>
      <c r="F32" s="10">
        <v>452000</v>
      </c>
      <c r="G32" s="11">
        <v>1.3716814159292035E-2</v>
      </c>
      <c r="H32" s="10">
        <v>25</v>
      </c>
      <c r="I32" s="10">
        <v>0</v>
      </c>
      <c r="J32" s="10">
        <v>5.7999999999999996E-2</v>
      </c>
      <c r="K32" s="7">
        <v>0.15</v>
      </c>
      <c r="L32" s="10">
        <v>6200</v>
      </c>
      <c r="M32" s="8" t="s">
        <v>47</v>
      </c>
    </row>
    <row r="33" spans="1:13">
      <c r="A33" s="8">
        <v>8</v>
      </c>
      <c r="B33" s="8">
        <v>0</v>
      </c>
      <c r="C33" s="8" t="s">
        <v>24</v>
      </c>
      <c r="D33" s="3">
        <v>4.7184170471841709</v>
      </c>
      <c r="E33" s="21">
        <v>25</v>
      </c>
      <c r="F33" s="10">
        <v>452000</v>
      </c>
      <c r="G33" s="11">
        <v>1.3716814159292035E-2</v>
      </c>
      <c r="H33" s="10">
        <v>25</v>
      </c>
      <c r="I33" s="10">
        <v>0</v>
      </c>
      <c r="J33" s="10">
        <v>5.7999999999999996E-2</v>
      </c>
      <c r="K33" s="7">
        <v>0.15</v>
      </c>
      <c r="L33" s="10">
        <v>6200</v>
      </c>
      <c r="M33" s="8" t="s">
        <v>47</v>
      </c>
    </row>
    <row r="34" spans="1:13">
      <c r="A34" s="8">
        <v>9</v>
      </c>
      <c r="B34" s="8">
        <v>76392.14</v>
      </c>
      <c r="C34" s="8" t="s">
        <v>25</v>
      </c>
      <c r="D34" s="3">
        <v>2.1291878302806424</v>
      </c>
      <c r="E34" s="21">
        <v>29.37</v>
      </c>
      <c r="F34" s="10">
        <v>581000</v>
      </c>
      <c r="G34" s="11">
        <v>2.8571428571428571E-2</v>
      </c>
      <c r="H34" s="10">
        <v>25</v>
      </c>
      <c r="I34" s="10">
        <v>0.31880000000000003</v>
      </c>
      <c r="J34" s="10">
        <v>7.4999999999999997E-2</v>
      </c>
      <c r="K34" s="7">
        <v>0.89</v>
      </c>
      <c r="L34" s="10">
        <v>16600</v>
      </c>
      <c r="M34" s="8" t="s">
        <v>47</v>
      </c>
    </row>
    <row r="35" spans="1:13">
      <c r="A35" s="8">
        <v>10</v>
      </c>
      <c r="B35" s="8">
        <v>0</v>
      </c>
      <c r="C35" s="8" t="s">
        <v>26</v>
      </c>
      <c r="D35" s="3">
        <v>2.5266362252663623</v>
      </c>
      <c r="E35" s="21">
        <v>36.31</v>
      </c>
      <c r="F35" s="10">
        <v>581000</v>
      </c>
      <c r="G35" s="11">
        <v>2.8571428571428571E-2</v>
      </c>
      <c r="H35" s="10">
        <v>25</v>
      </c>
      <c r="I35" s="10">
        <v>0</v>
      </c>
      <c r="J35" s="10">
        <v>7.4999999999999997E-2</v>
      </c>
      <c r="K35" s="7">
        <v>0.75</v>
      </c>
      <c r="L35" s="10">
        <v>16600</v>
      </c>
      <c r="M35" s="8" t="s">
        <v>47</v>
      </c>
    </row>
    <row r="36" spans="1:13">
      <c r="A36" s="8">
        <v>11</v>
      </c>
      <c r="B36" s="8">
        <v>63247</v>
      </c>
      <c r="C36" s="8" t="s">
        <v>27</v>
      </c>
      <c r="D36" s="3">
        <v>2.2831050228310503</v>
      </c>
      <c r="E36" s="21">
        <v>10.4</v>
      </c>
      <c r="F36" s="10">
        <v>2000000</v>
      </c>
      <c r="G36" s="11">
        <v>5.0000000000000001E-3</v>
      </c>
      <c r="H36" s="10">
        <v>40</v>
      </c>
      <c r="I36" s="10">
        <v>0</v>
      </c>
      <c r="J36" s="10">
        <v>7.0000000000000007E-2</v>
      </c>
      <c r="K36" s="7">
        <v>0.5</v>
      </c>
      <c r="L36" s="10">
        <v>10000</v>
      </c>
      <c r="M36" s="8" t="s">
        <v>47</v>
      </c>
    </row>
    <row r="37" spans="1:13">
      <c r="A37" s="8">
        <v>12</v>
      </c>
      <c r="B37" s="8">
        <v>123435</v>
      </c>
      <c r="C37" s="8" t="s">
        <v>28</v>
      </c>
      <c r="D37" s="3">
        <v>2.4906600249066</v>
      </c>
      <c r="E37" s="21">
        <v>10.4</v>
      </c>
      <c r="F37" s="10">
        <v>2500000</v>
      </c>
      <c r="G37" s="11">
        <v>4.7999999999999996E-3</v>
      </c>
      <c r="H37" s="10">
        <v>40</v>
      </c>
      <c r="I37" s="10">
        <v>0</v>
      </c>
      <c r="J37" s="10">
        <v>7.0000000000000007E-2</v>
      </c>
      <c r="K37" s="7">
        <v>0.55000000000000004</v>
      </c>
      <c r="L37" s="10">
        <v>12000</v>
      </c>
      <c r="M37" s="8" t="s">
        <v>47</v>
      </c>
    </row>
    <row r="38" spans="1:13">
      <c r="A38" s="8">
        <v>13</v>
      </c>
      <c r="B38" s="8">
        <v>170596.08</v>
      </c>
      <c r="C38" s="10" t="s">
        <v>9</v>
      </c>
      <c r="D38" s="3">
        <v>5.70776255707763</v>
      </c>
      <c r="E38" s="21">
        <v>45.71</v>
      </c>
      <c r="F38" s="10">
        <v>395000</v>
      </c>
      <c r="G38" s="11">
        <v>3.7974683544303799E-2</v>
      </c>
      <c r="H38" s="10">
        <v>20</v>
      </c>
      <c r="I38" s="10">
        <v>0</v>
      </c>
      <c r="J38" s="10">
        <v>7.0000000000000007E-2</v>
      </c>
      <c r="K38" s="10">
        <v>0.3</v>
      </c>
      <c r="L38" s="10">
        <v>15000</v>
      </c>
      <c r="M38" s="8" t="s">
        <v>47</v>
      </c>
    </row>
    <row r="39" spans="1:13">
      <c r="A39" s="8">
        <v>14</v>
      </c>
      <c r="B39" s="8">
        <v>0</v>
      </c>
      <c r="C39" s="8" t="s">
        <v>29</v>
      </c>
      <c r="D39" s="3">
        <v>8.8184931506849313</v>
      </c>
      <c r="E39" s="21">
        <v>73</v>
      </c>
      <c r="F39" s="10">
        <v>1642000</v>
      </c>
      <c r="G39" s="11">
        <v>1.8818514007308162E-2</v>
      </c>
      <c r="H39" s="10">
        <v>23</v>
      </c>
      <c r="I39" s="10">
        <v>0</v>
      </c>
      <c r="J39" s="10">
        <v>8.900000000000001E-2</v>
      </c>
      <c r="K39" s="7">
        <v>0.4</v>
      </c>
      <c r="L39" s="10">
        <v>30900</v>
      </c>
      <c r="M39" s="8" t="s">
        <v>47</v>
      </c>
    </row>
    <row r="40" spans="1:13">
      <c r="A40" s="8">
        <v>15</v>
      </c>
      <c r="B40" s="8">
        <v>40960.94</v>
      </c>
      <c r="C40" s="8" t="s">
        <v>1</v>
      </c>
      <c r="D40" s="3">
        <v>4.6803652968036529</v>
      </c>
      <c r="E40" s="23">
        <v>73.021461187214612</v>
      </c>
      <c r="F40" s="10">
        <v>312000</v>
      </c>
      <c r="G40" s="11">
        <v>2.6282051282051282E-2</v>
      </c>
      <c r="H40" s="10">
        <v>30</v>
      </c>
      <c r="I40" s="10">
        <v>0.52060000000000006</v>
      </c>
      <c r="J40" s="10">
        <v>7.4999999999999997E-2</v>
      </c>
      <c r="K40" s="7">
        <v>0.2</v>
      </c>
      <c r="L40" s="10">
        <v>8200</v>
      </c>
      <c r="M40" s="8" t="s">
        <v>47</v>
      </c>
    </row>
    <row r="41" spans="1:13">
      <c r="A41" s="8">
        <v>16</v>
      </c>
      <c r="B41" s="8">
        <v>15010.6</v>
      </c>
      <c r="C41" s="8" t="s">
        <v>30</v>
      </c>
      <c r="D41" s="3">
        <v>8.8184931506849313</v>
      </c>
      <c r="E41" s="21">
        <v>6.47</v>
      </c>
      <c r="F41" s="10">
        <v>1642000</v>
      </c>
      <c r="G41" s="11">
        <v>1.8818514007308162E-2</v>
      </c>
      <c r="H41" s="10">
        <v>23</v>
      </c>
      <c r="I41" s="10">
        <v>0</v>
      </c>
      <c r="J41" s="10">
        <v>8.900000000000001E-2</v>
      </c>
      <c r="K41" s="7">
        <v>0.4</v>
      </c>
      <c r="L41" s="10">
        <v>30900</v>
      </c>
      <c r="M41" s="8" t="s">
        <v>47</v>
      </c>
    </row>
    <row r="42" spans="1:13">
      <c r="A42" s="8">
        <v>17</v>
      </c>
      <c r="B42" s="8">
        <v>5822.28</v>
      </c>
      <c r="C42" s="8" t="s">
        <v>31</v>
      </c>
      <c r="D42" s="3">
        <v>2.0597577923367081</v>
      </c>
      <c r="E42" s="23">
        <v>47.735675997617626</v>
      </c>
      <c r="F42" s="10">
        <v>581000</v>
      </c>
      <c r="G42" s="11">
        <v>2.8571428571428571E-2</v>
      </c>
      <c r="H42" s="10">
        <v>25</v>
      </c>
      <c r="I42" s="10">
        <v>0.31880000000000003</v>
      </c>
      <c r="J42" s="10">
        <v>7.4999999999999997E-2</v>
      </c>
      <c r="K42" s="7">
        <v>0.92</v>
      </c>
      <c r="L42" s="10">
        <v>16600</v>
      </c>
      <c r="M42" s="8" t="s">
        <v>47</v>
      </c>
    </row>
    <row r="43" spans="1:13">
      <c r="A43" s="8">
        <v>18</v>
      </c>
      <c r="B43" s="8">
        <v>0</v>
      </c>
      <c r="C43" s="8" t="s">
        <v>32</v>
      </c>
      <c r="D43" s="3">
        <v>2.2831050228310503</v>
      </c>
      <c r="E43" s="21">
        <v>95</v>
      </c>
      <c r="F43" s="10">
        <v>581000</v>
      </c>
      <c r="G43" s="11">
        <v>2.8571428571428571E-2</v>
      </c>
      <c r="H43" s="10">
        <v>15</v>
      </c>
      <c r="I43" s="10">
        <v>0.31880000000000003</v>
      </c>
      <c r="J43" s="10">
        <v>7.4999999999999997E-2</v>
      </c>
      <c r="K43" s="7">
        <v>0.83</v>
      </c>
      <c r="L43" s="10">
        <v>16600</v>
      </c>
      <c r="M43" s="8" t="s">
        <v>47</v>
      </c>
    </row>
    <row r="44" spans="1:13">
      <c r="A44" s="8">
        <v>19</v>
      </c>
      <c r="B44" s="8">
        <v>0</v>
      </c>
      <c r="C44" s="8" t="s">
        <v>33</v>
      </c>
      <c r="D44" s="3">
        <v>2.2831050228310503</v>
      </c>
      <c r="E44" s="23">
        <v>72.424657534246577</v>
      </c>
      <c r="F44" s="10">
        <v>581000</v>
      </c>
      <c r="G44" s="11">
        <v>2.8571428571428571E-2</v>
      </c>
      <c r="H44" s="10">
        <v>15</v>
      </c>
      <c r="I44" s="10">
        <v>0.31880000000000003</v>
      </c>
      <c r="J44" s="10">
        <v>7.4999999999999997E-2</v>
      </c>
      <c r="K44" s="7">
        <v>0.83</v>
      </c>
      <c r="L44" s="10">
        <v>16600</v>
      </c>
      <c r="M44" s="8" t="s">
        <v>47</v>
      </c>
    </row>
    <row r="45" spans="1:13">
      <c r="A45" s="8">
        <v>20</v>
      </c>
      <c r="B45" s="8">
        <v>0</v>
      </c>
      <c r="C45" s="8" t="s">
        <v>34</v>
      </c>
      <c r="D45" s="3">
        <v>3.8812785388127855</v>
      </c>
      <c r="E45" s="21">
        <v>2.95</v>
      </c>
      <c r="F45" s="10">
        <v>697000</v>
      </c>
      <c r="G45" s="11">
        <v>2.4390243902439025E-2</v>
      </c>
      <c r="H45" s="10">
        <v>25</v>
      </c>
      <c r="I45" s="10">
        <v>0</v>
      </c>
      <c r="J45" s="10">
        <v>7.4999999999999997E-2</v>
      </c>
      <c r="K45" s="7">
        <v>0.5</v>
      </c>
      <c r="L45" s="10">
        <v>17000</v>
      </c>
      <c r="M45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Econ_Players</vt:lpstr>
      <vt:lpstr>Econ_Players_H2</vt:lpstr>
      <vt:lpstr>Econ_H2</vt:lpstr>
      <vt:lpstr>Cost_Calc</vt:lpstr>
      <vt:lpstr>Sheet1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Mhdella</dc:creator>
  <cp:lastModifiedBy>Mohamed Abuella</cp:lastModifiedBy>
  <dcterms:created xsi:type="dcterms:W3CDTF">2025-01-17T16:45:43Z</dcterms:created>
  <dcterms:modified xsi:type="dcterms:W3CDTF">2026-02-21T01:56:55Z</dcterms:modified>
</cp:coreProperties>
</file>